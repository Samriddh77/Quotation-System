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FBBA4490-9699-42D2-928B-F2C66E681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T CABLES" sheetId="13" r:id="rId1"/>
    <sheet name="COPPER ARMOD" sheetId="12" r:id="rId2"/>
    <sheet name="ALLUMINIUM ARMOD" sheetId="11" r:id="rId3"/>
    <sheet name="HMI GLAND" sheetId="10" r:id="rId4"/>
    <sheet name="COSMOS CABLE GLANDS" sheetId="9" r:id="rId5"/>
    <sheet name="RR Q1 90" sheetId="8" r:id="rId6"/>
    <sheet name="RR FRLSH 200" sheetId="7" r:id="rId7"/>
    <sheet name="RR FR 200" sheetId="6" r:id="rId8"/>
    <sheet name="LAPP 180 FRLSH" sheetId="5" r:id="rId9"/>
  </sheets>
  <definedNames>
    <definedName name="_xlnm._FilterDatabase" localSheetId="7" hidden="1">'RR FR 200'!$B$2:$K$15</definedName>
    <definedName name="_xlnm._FilterDatabase" localSheetId="6" hidden="1">'RR FRLSH 200'!$B$2:$L$15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3" l="1"/>
  <c r="G4" i="13"/>
  <c r="H4" i="13" s="1"/>
  <c r="E5" i="13"/>
  <c r="G5" i="13"/>
  <c r="H5" i="13"/>
  <c r="I5" i="13"/>
  <c r="E6" i="13"/>
  <c r="G6" i="13"/>
  <c r="H6" i="13" s="1"/>
  <c r="E7" i="13"/>
  <c r="G7" i="13"/>
  <c r="H7" i="13"/>
  <c r="I7" i="13"/>
  <c r="E8" i="13"/>
  <c r="G8" i="13"/>
  <c r="H8" i="13" s="1"/>
  <c r="E9" i="13"/>
  <c r="G9" i="13"/>
  <c r="H9" i="13" s="1"/>
  <c r="E10" i="13"/>
  <c r="G10" i="13"/>
  <c r="H10" i="13" s="1"/>
  <c r="E11" i="13"/>
  <c r="G11" i="13"/>
  <c r="H11" i="13"/>
  <c r="I11" i="13"/>
  <c r="E12" i="13"/>
  <c r="G12" i="13"/>
  <c r="H12" i="13" s="1"/>
  <c r="E13" i="13"/>
  <c r="G13" i="13"/>
  <c r="H13" i="13"/>
  <c r="I13" i="13"/>
  <c r="E21" i="13"/>
  <c r="G21" i="13"/>
  <c r="H21" i="13" s="1"/>
  <c r="E22" i="13"/>
  <c r="G22" i="13"/>
  <c r="H22" i="13"/>
  <c r="I22" i="13"/>
  <c r="E23" i="13"/>
  <c r="G23" i="13"/>
  <c r="H23" i="13" s="1"/>
  <c r="E24" i="13"/>
  <c r="G24" i="13"/>
  <c r="H24" i="13"/>
  <c r="I24" i="13"/>
  <c r="E25" i="13"/>
  <c r="G25" i="13"/>
  <c r="H25" i="13" s="1"/>
  <c r="E26" i="13"/>
  <c r="G26" i="13"/>
  <c r="H26" i="13"/>
  <c r="I26" i="13"/>
  <c r="E27" i="13"/>
  <c r="G27" i="13"/>
  <c r="H27" i="13" s="1"/>
  <c r="E34" i="13"/>
  <c r="G34" i="13"/>
  <c r="H34" i="13"/>
  <c r="I34" i="13"/>
  <c r="E35" i="13"/>
  <c r="G35" i="13"/>
  <c r="H35" i="13" s="1"/>
  <c r="E36" i="13"/>
  <c r="G36" i="13"/>
  <c r="H36" i="13"/>
  <c r="I36" i="13"/>
  <c r="E37" i="13"/>
  <c r="G37" i="13"/>
  <c r="H37" i="13" s="1"/>
  <c r="E38" i="13"/>
  <c r="G38" i="13"/>
  <c r="H38" i="13"/>
  <c r="I38" i="13"/>
  <c r="E39" i="13"/>
  <c r="G39" i="13"/>
  <c r="H39" i="13" s="1"/>
  <c r="E40" i="13"/>
  <c r="G40" i="13"/>
  <c r="H40" i="13"/>
  <c r="I40" i="13"/>
  <c r="E5" i="12"/>
  <c r="G5" i="12" s="1"/>
  <c r="E6" i="12"/>
  <c r="G6" i="12"/>
  <c r="H6" i="12"/>
  <c r="I6" i="12"/>
  <c r="E7" i="12"/>
  <c r="G7" i="12" s="1"/>
  <c r="E8" i="12"/>
  <c r="G8" i="12"/>
  <c r="H8" i="12"/>
  <c r="I8" i="12"/>
  <c r="E9" i="12"/>
  <c r="G9" i="12" s="1"/>
  <c r="E10" i="12"/>
  <c r="G10" i="12"/>
  <c r="H10" i="12"/>
  <c r="I10" i="12"/>
  <c r="E11" i="12"/>
  <c r="G11" i="12" s="1"/>
  <c r="E13" i="12"/>
  <c r="G13" i="12"/>
  <c r="H13" i="12"/>
  <c r="I13" i="12"/>
  <c r="E14" i="12"/>
  <c r="G14" i="12" s="1"/>
  <c r="E15" i="12"/>
  <c r="G15" i="12"/>
  <c r="H15" i="12"/>
  <c r="I15" i="12"/>
  <c r="E16" i="12"/>
  <c r="G16" i="12" s="1"/>
  <c r="E17" i="12"/>
  <c r="G17" i="12"/>
  <c r="H17" i="12"/>
  <c r="I17" i="12"/>
  <c r="E18" i="12"/>
  <c r="G18" i="12" s="1"/>
  <c r="E19" i="12"/>
  <c r="G19" i="12"/>
  <c r="H19" i="12"/>
  <c r="I19" i="12"/>
  <c r="E20" i="12"/>
  <c r="G20" i="12" s="1"/>
  <c r="E21" i="12"/>
  <c r="G21" i="12"/>
  <c r="H21" i="12"/>
  <c r="I21" i="12"/>
  <c r="E22" i="12"/>
  <c r="G22" i="12" s="1"/>
  <c r="E24" i="12"/>
  <c r="G24" i="12"/>
  <c r="H24" i="12"/>
  <c r="I24" i="12"/>
  <c r="E29" i="12"/>
  <c r="G29" i="12" s="1"/>
  <c r="E30" i="12"/>
  <c r="G30" i="12"/>
  <c r="H30" i="12"/>
  <c r="I30" i="12"/>
  <c r="E31" i="12"/>
  <c r="G31" i="12" s="1"/>
  <c r="E32" i="12"/>
  <c r="G32" i="12"/>
  <c r="H32" i="12"/>
  <c r="I32" i="12"/>
  <c r="E33" i="12"/>
  <c r="G33" i="12" s="1"/>
  <c r="E34" i="12"/>
  <c r="G34" i="12"/>
  <c r="H34" i="12"/>
  <c r="I34" i="12"/>
  <c r="E35" i="12"/>
  <c r="G35" i="12" s="1"/>
  <c r="E37" i="12"/>
  <c r="G37" i="12"/>
  <c r="H37" i="12"/>
  <c r="I37" i="12"/>
  <c r="E38" i="12"/>
  <c r="G38" i="12" s="1"/>
  <c r="E39" i="12"/>
  <c r="G39" i="12"/>
  <c r="H39" i="12"/>
  <c r="I39" i="12"/>
  <c r="E40" i="12"/>
  <c r="G40" i="12" s="1"/>
  <c r="E41" i="12"/>
  <c r="G41" i="12"/>
  <c r="H41" i="12"/>
  <c r="I41" i="12"/>
  <c r="E42" i="12"/>
  <c r="G42" i="12" s="1"/>
  <c r="E43" i="12"/>
  <c r="G43" i="12"/>
  <c r="H43" i="12"/>
  <c r="I43" i="12"/>
  <c r="E44" i="12"/>
  <c r="G44" i="12" s="1"/>
  <c r="E45" i="12"/>
  <c r="G45" i="12"/>
  <c r="H45" i="12"/>
  <c r="I45" i="12"/>
  <c r="E46" i="12"/>
  <c r="G46" i="12" s="1"/>
  <c r="E48" i="12"/>
  <c r="G48" i="12"/>
  <c r="H48" i="12"/>
  <c r="I48" i="12"/>
  <c r="E53" i="12"/>
  <c r="G53" i="12" s="1"/>
  <c r="E54" i="12"/>
  <c r="G54" i="12"/>
  <c r="H54" i="12"/>
  <c r="I54" i="12"/>
  <c r="E55" i="12"/>
  <c r="G55" i="12" s="1"/>
  <c r="E56" i="12"/>
  <c r="G56" i="12"/>
  <c r="H56" i="12"/>
  <c r="I56" i="12"/>
  <c r="E57" i="12"/>
  <c r="G57" i="12" s="1"/>
  <c r="E58" i="12"/>
  <c r="G58" i="12"/>
  <c r="H58" i="12"/>
  <c r="I58" i="12"/>
  <c r="E59" i="12"/>
  <c r="G59" i="12" s="1"/>
  <c r="E60" i="12"/>
  <c r="G60" i="12"/>
  <c r="H60" i="12"/>
  <c r="I60" i="12"/>
  <c r="E61" i="12"/>
  <c r="G61" i="12" s="1"/>
  <c r="E62" i="12"/>
  <c r="G62" i="12"/>
  <c r="H62" i="12"/>
  <c r="I62" i="12"/>
  <c r="E63" i="12"/>
  <c r="G63" i="12" s="1"/>
  <c r="E64" i="12"/>
  <c r="G64" i="12"/>
  <c r="H64" i="12"/>
  <c r="I64" i="12"/>
  <c r="E65" i="12"/>
  <c r="G65" i="12" s="1"/>
  <c r="E66" i="12"/>
  <c r="G66" i="12"/>
  <c r="H66" i="12"/>
  <c r="I66" i="12"/>
  <c r="E67" i="12"/>
  <c r="G67" i="12" s="1"/>
  <c r="E68" i="12"/>
  <c r="G68" i="12"/>
  <c r="H68" i="12"/>
  <c r="I68" i="12"/>
  <c r="E70" i="12"/>
  <c r="G70" i="12" s="1"/>
  <c r="E71" i="12"/>
  <c r="G71" i="12"/>
  <c r="H71" i="12"/>
  <c r="I71" i="12"/>
  <c r="E72" i="12"/>
  <c r="G72" i="12" s="1"/>
  <c r="E73" i="12"/>
  <c r="G73" i="12"/>
  <c r="H73" i="12"/>
  <c r="I73" i="12"/>
  <c r="E74" i="12"/>
  <c r="G74" i="12" s="1"/>
  <c r="E75" i="12"/>
  <c r="G75" i="12"/>
  <c r="H75" i="12"/>
  <c r="I75" i="12"/>
  <c r="E76" i="12"/>
  <c r="G76" i="12" s="1"/>
  <c r="E77" i="12"/>
  <c r="G77" i="12"/>
  <c r="H77" i="12"/>
  <c r="I77" i="12"/>
  <c r="E78" i="12"/>
  <c r="G78" i="12" s="1"/>
  <c r="E79" i="12"/>
  <c r="G79" i="12"/>
  <c r="H79" i="12"/>
  <c r="I79" i="12"/>
  <c r="E80" i="12"/>
  <c r="G80" i="12" s="1"/>
  <c r="E81" i="12"/>
  <c r="G81" i="12"/>
  <c r="H81" i="12"/>
  <c r="I81" i="12"/>
  <c r="E82" i="12"/>
  <c r="G82" i="12" s="1"/>
  <c r="E83" i="12"/>
  <c r="G83" i="12"/>
  <c r="H83" i="12"/>
  <c r="I83" i="12"/>
  <c r="E84" i="12"/>
  <c r="G84" i="12" s="1"/>
  <c r="E86" i="12"/>
  <c r="G86" i="12"/>
  <c r="H86" i="12"/>
  <c r="I86" i="12"/>
  <c r="E87" i="12"/>
  <c r="G87" i="12" s="1"/>
  <c r="E88" i="12"/>
  <c r="G88" i="12"/>
  <c r="H88" i="12"/>
  <c r="I88" i="12"/>
  <c r="E89" i="12"/>
  <c r="G89" i="12" s="1"/>
  <c r="E90" i="12"/>
  <c r="G90" i="12"/>
  <c r="H90" i="12"/>
  <c r="I90" i="12"/>
  <c r="E91" i="12"/>
  <c r="G91" i="12" s="1"/>
  <c r="E92" i="12"/>
  <c r="G92" i="12"/>
  <c r="H92" i="12"/>
  <c r="I92" i="12"/>
  <c r="E93" i="12"/>
  <c r="G93" i="12" s="1"/>
  <c r="E94" i="12"/>
  <c r="G94" i="12"/>
  <c r="H94" i="12"/>
  <c r="I94" i="12"/>
  <c r="E95" i="12"/>
  <c r="G95" i="12" s="1"/>
  <c r="E96" i="12"/>
  <c r="G96" i="12"/>
  <c r="H96" i="12"/>
  <c r="I96" i="12"/>
  <c r="E97" i="12"/>
  <c r="G97" i="12" s="1"/>
  <c r="E98" i="12"/>
  <c r="G98" i="12"/>
  <c r="H98" i="12"/>
  <c r="I98" i="12"/>
  <c r="E99" i="12"/>
  <c r="G99" i="12" s="1"/>
  <c r="E100" i="12"/>
  <c r="G100" i="12"/>
  <c r="H100" i="12"/>
  <c r="I100" i="12"/>
  <c r="E102" i="12"/>
  <c r="G102" i="12" s="1"/>
  <c r="E103" i="12"/>
  <c r="G103" i="12"/>
  <c r="H103" i="12"/>
  <c r="I103" i="12"/>
  <c r="E104" i="12"/>
  <c r="G104" i="12" s="1"/>
  <c r="E105" i="12"/>
  <c r="G105" i="12"/>
  <c r="H105" i="12"/>
  <c r="I105" i="12"/>
  <c r="E106" i="12"/>
  <c r="G106" i="12" s="1"/>
  <c r="E107" i="12"/>
  <c r="G107" i="12"/>
  <c r="H107" i="12"/>
  <c r="I107" i="12"/>
  <c r="E108" i="12"/>
  <c r="G108" i="12" s="1"/>
  <c r="E109" i="12"/>
  <c r="G109" i="12"/>
  <c r="H109" i="12"/>
  <c r="I109" i="12"/>
  <c r="E110" i="12"/>
  <c r="G110" i="12" s="1"/>
  <c r="E111" i="12"/>
  <c r="G111" i="12"/>
  <c r="H111" i="12"/>
  <c r="I111" i="12"/>
  <c r="E112" i="12"/>
  <c r="G112" i="12" s="1"/>
  <c r="E114" i="12"/>
  <c r="G114" i="12"/>
  <c r="H114" i="12"/>
  <c r="I114" i="12"/>
  <c r="E115" i="12"/>
  <c r="G115" i="12" s="1"/>
  <c r="E116" i="12"/>
  <c r="G116" i="12"/>
  <c r="H116" i="12"/>
  <c r="I116" i="12"/>
  <c r="E117" i="12"/>
  <c r="G117" i="12" s="1"/>
  <c r="E118" i="12"/>
  <c r="G118" i="12"/>
  <c r="H118" i="12"/>
  <c r="I118" i="12"/>
  <c r="E119" i="12"/>
  <c r="G119" i="12" s="1"/>
  <c r="E120" i="12"/>
  <c r="G120" i="12"/>
  <c r="H120" i="12"/>
  <c r="I120" i="12"/>
  <c r="E121" i="12"/>
  <c r="G121" i="12" s="1"/>
  <c r="E122" i="12"/>
  <c r="G122" i="12"/>
  <c r="H122" i="12"/>
  <c r="I122" i="12"/>
  <c r="E123" i="12"/>
  <c r="G123" i="12" s="1"/>
  <c r="E124" i="12"/>
  <c r="G124" i="12"/>
  <c r="H124" i="12"/>
  <c r="I124" i="12"/>
  <c r="E125" i="12"/>
  <c r="G125" i="12" s="1"/>
  <c r="E126" i="12"/>
  <c r="G126" i="12"/>
  <c r="H126" i="12"/>
  <c r="I126" i="12"/>
  <c r="E127" i="12"/>
  <c r="G127" i="12" s="1"/>
  <c r="E128" i="12"/>
  <c r="G128" i="12"/>
  <c r="H128" i="12"/>
  <c r="I128" i="12"/>
  <c r="E4" i="11"/>
  <c r="G4" i="11" s="1"/>
  <c r="E5" i="11"/>
  <c r="G5" i="11" s="1"/>
  <c r="E6" i="11"/>
  <c r="G6" i="11"/>
  <c r="H6" i="11"/>
  <c r="I6" i="11"/>
  <c r="E8" i="11"/>
  <c r="G8" i="11"/>
  <c r="H8" i="11"/>
  <c r="I8" i="11"/>
  <c r="E9" i="11"/>
  <c r="G9" i="11"/>
  <c r="H9" i="11"/>
  <c r="I9" i="11"/>
  <c r="E10" i="11"/>
  <c r="G10" i="11"/>
  <c r="H10" i="11"/>
  <c r="I10" i="11"/>
  <c r="E12" i="11"/>
  <c r="G12" i="11"/>
  <c r="H12" i="11"/>
  <c r="I12" i="11"/>
  <c r="E13" i="11"/>
  <c r="G13" i="11"/>
  <c r="H13" i="11"/>
  <c r="I13" i="11"/>
  <c r="E14" i="11"/>
  <c r="G14" i="11"/>
  <c r="H14" i="11"/>
  <c r="I14" i="11"/>
  <c r="E16" i="11"/>
  <c r="G16" i="11"/>
  <c r="H16" i="11"/>
  <c r="I16" i="11"/>
  <c r="E17" i="11"/>
  <c r="G17" i="11"/>
  <c r="H17" i="11"/>
  <c r="I17" i="11"/>
  <c r="E18" i="11"/>
  <c r="G18" i="11"/>
  <c r="H18" i="11"/>
  <c r="I18" i="11"/>
  <c r="E20" i="11"/>
  <c r="G20" i="11"/>
  <c r="H20" i="11"/>
  <c r="I20" i="11"/>
  <c r="E21" i="11"/>
  <c r="G21" i="11"/>
  <c r="H21" i="11"/>
  <c r="I21" i="11"/>
  <c r="E22" i="11"/>
  <c r="G22" i="11"/>
  <c r="H22" i="11"/>
  <c r="I22" i="11"/>
  <c r="E23" i="11"/>
  <c r="G23" i="11"/>
  <c r="H23" i="11"/>
  <c r="I23" i="11"/>
  <c r="E25" i="11"/>
  <c r="G25" i="11"/>
  <c r="H25" i="11"/>
  <c r="I25" i="11"/>
  <c r="E26" i="11"/>
  <c r="G26" i="11"/>
  <c r="H26" i="11"/>
  <c r="I26" i="11"/>
  <c r="E27" i="11"/>
  <c r="G27" i="11"/>
  <c r="H27" i="11"/>
  <c r="I27" i="11"/>
  <c r="E28" i="11"/>
  <c r="G28" i="11"/>
  <c r="H28" i="11"/>
  <c r="I28" i="11"/>
  <c r="E29" i="11"/>
  <c r="G29" i="11"/>
  <c r="H29" i="11"/>
  <c r="I29" i="11"/>
  <c r="E31" i="11"/>
  <c r="G31" i="11"/>
  <c r="H31" i="11"/>
  <c r="I31" i="11"/>
  <c r="E32" i="11"/>
  <c r="G32" i="11"/>
  <c r="H32" i="11"/>
  <c r="I32" i="11"/>
  <c r="E33" i="11"/>
  <c r="G33" i="11"/>
  <c r="H33" i="11"/>
  <c r="I33" i="11"/>
  <c r="E34" i="11"/>
  <c r="G34" i="11"/>
  <c r="H34" i="11"/>
  <c r="I34" i="11"/>
  <c r="E35" i="11"/>
  <c r="G35" i="11"/>
  <c r="H35" i="11"/>
  <c r="I35" i="11"/>
  <c r="E37" i="11"/>
  <c r="G37" i="11"/>
  <c r="H37" i="11"/>
  <c r="I37" i="11"/>
  <c r="E38" i="11"/>
  <c r="G38" i="11"/>
  <c r="H38" i="11"/>
  <c r="I38" i="11"/>
  <c r="E39" i="11"/>
  <c r="G39" i="11"/>
  <c r="H39" i="11"/>
  <c r="I39" i="11"/>
  <c r="E40" i="11"/>
  <c r="G40" i="11"/>
  <c r="H40" i="11"/>
  <c r="I40" i="11"/>
  <c r="E41" i="11"/>
  <c r="G41" i="11"/>
  <c r="H41" i="11"/>
  <c r="I41" i="11"/>
  <c r="E43" i="11"/>
  <c r="G43" i="11"/>
  <c r="H43" i="11"/>
  <c r="I43" i="11"/>
  <c r="E44" i="11"/>
  <c r="G44" i="11"/>
  <c r="H44" i="11"/>
  <c r="I44" i="11"/>
  <c r="E45" i="11"/>
  <c r="G45" i="11"/>
  <c r="H45" i="11"/>
  <c r="I45" i="11"/>
  <c r="E46" i="11"/>
  <c r="G46" i="11"/>
  <c r="H46" i="11"/>
  <c r="I46" i="11"/>
  <c r="E47" i="11"/>
  <c r="G47" i="11"/>
  <c r="H47" i="11"/>
  <c r="I47" i="11"/>
  <c r="E49" i="11"/>
  <c r="G49" i="11"/>
  <c r="H49" i="11"/>
  <c r="I49" i="11"/>
  <c r="E50" i="11"/>
  <c r="G50" i="11"/>
  <c r="H50" i="11"/>
  <c r="I50" i="11"/>
  <c r="E51" i="11"/>
  <c r="G51" i="11"/>
  <c r="H51" i="11"/>
  <c r="I51" i="11"/>
  <c r="E52" i="11"/>
  <c r="G52" i="11"/>
  <c r="H52" i="11"/>
  <c r="I52" i="11"/>
  <c r="E53" i="11"/>
  <c r="G53" i="11"/>
  <c r="H53" i="11"/>
  <c r="I53" i="11"/>
  <c r="E55" i="11"/>
  <c r="G55" i="11"/>
  <c r="H55" i="11"/>
  <c r="I55" i="11"/>
  <c r="E56" i="11"/>
  <c r="G56" i="11"/>
  <c r="H56" i="11"/>
  <c r="I56" i="11"/>
  <c r="E57" i="11"/>
  <c r="G57" i="11"/>
  <c r="H57" i="11"/>
  <c r="I57" i="11"/>
  <c r="E58" i="11"/>
  <c r="G58" i="11"/>
  <c r="H58" i="11"/>
  <c r="I58" i="11"/>
  <c r="E59" i="11"/>
  <c r="G59" i="11"/>
  <c r="H59" i="11"/>
  <c r="I59" i="11"/>
  <c r="E61" i="11"/>
  <c r="G61" i="11"/>
  <c r="H61" i="11"/>
  <c r="I61" i="11"/>
  <c r="E62" i="11"/>
  <c r="G62" i="11"/>
  <c r="H62" i="11"/>
  <c r="I62" i="11"/>
  <c r="E63" i="11"/>
  <c r="G63" i="11"/>
  <c r="H63" i="11"/>
  <c r="I63" i="11"/>
  <c r="E64" i="11"/>
  <c r="G64" i="11"/>
  <c r="H64" i="11"/>
  <c r="I64" i="11"/>
  <c r="E65" i="11"/>
  <c r="G65" i="11"/>
  <c r="H65" i="11"/>
  <c r="I65" i="11"/>
  <c r="E67" i="11"/>
  <c r="G67" i="11"/>
  <c r="H67" i="11"/>
  <c r="I67" i="11"/>
  <c r="E68" i="11"/>
  <c r="G68" i="11"/>
  <c r="H68" i="11"/>
  <c r="I68" i="11"/>
  <c r="E69" i="11"/>
  <c r="G69" i="11"/>
  <c r="H69" i="11"/>
  <c r="I69" i="11"/>
  <c r="E70" i="11"/>
  <c r="G70" i="11"/>
  <c r="H70" i="11"/>
  <c r="I70" i="11"/>
  <c r="E71" i="11"/>
  <c r="G71" i="11"/>
  <c r="H71" i="11"/>
  <c r="I71" i="11"/>
  <c r="E73" i="11"/>
  <c r="G73" i="11"/>
  <c r="H73" i="11"/>
  <c r="I73" i="11"/>
  <c r="E74" i="11"/>
  <c r="G74" i="11"/>
  <c r="H74" i="11"/>
  <c r="I74" i="11"/>
  <c r="E75" i="11"/>
  <c r="G75" i="11"/>
  <c r="H75" i="11"/>
  <c r="I75" i="11"/>
  <c r="E76" i="11"/>
  <c r="G76" i="11"/>
  <c r="H76" i="11"/>
  <c r="I76" i="11"/>
  <c r="E77" i="11"/>
  <c r="G77" i="11"/>
  <c r="H77" i="11"/>
  <c r="I77" i="11"/>
  <c r="E79" i="11"/>
  <c r="G79" i="11"/>
  <c r="H79" i="11"/>
  <c r="I79" i="11"/>
  <c r="E80" i="11"/>
  <c r="G80" i="11"/>
  <c r="H80" i="11"/>
  <c r="I80" i="11"/>
  <c r="E81" i="11"/>
  <c r="G81" i="11"/>
  <c r="H81" i="11"/>
  <c r="I81" i="11"/>
  <c r="E82" i="11"/>
  <c r="G82" i="11"/>
  <c r="H82" i="11"/>
  <c r="I82" i="11"/>
  <c r="E83" i="11"/>
  <c r="G83" i="11"/>
  <c r="H83" i="11"/>
  <c r="I83" i="11"/>
  <c r="E85" i="11"/>
  <c r="G85" i="11"/>
  <c r="H85" i="11"/>
  <c r="I85" i="11"/>
  <c r="E86" i="11"/>
  <c r="G86" i="11"/>
  <c r="H86" i="11"/>
  <c r="I86" i="11"/>
  <c r="E87" i="11"/>
  <c r="G87" i="11"/>
  <c r="H87" i="11"/>
  <c r="I87" i="11"/>
  <c r="E88" i="11"/>
  <c r="G88" i="11"/>
  <c r="H88" i="11"/>
  <c r="I88" i="11"/>
  <c r="E89" i="11"/>
  <c r="G89" i="11"/>
  <c r="H89" i="11"/>
  <c r="I89" i="11"/>
  <c r="E91" i="11"/>
  <c r="G91" i="11"/>
  <c r="H91" i="11"/>
  <c r="I91" i="11"/>
  <c r="E92" i="11"/>
  <c r="G92" i="11"/>
  <c r="H92" i="11"/>
  <c r="I92" i="11"/>
  <c r="E93" i="11"/>
  <c r="G93" i="11"/>
  <c r="H93" i="11"/>
  <c r="I93" i="11"/>
  <c r="E94" i="11"/>
  <c r="G94" i="11"/>
  <c r="H94" i="11"/>
  <c r="I94" i="11"/>
  <c r="E95" i="11"/>
  <c r="G95" i="11"/>
  <c r="H95" i="11"/>
  <c r="I95" i="11"/>
  <c r="E97" i="11"/>
  <c r="G97" i="11"/>
  <c r="H97" i="11"/>
  <c r="I97" i="11"/>
  <c r="E98" i="11"/>
  <c r="G98" i="11"/>
  <c r="H98" i="11"/>
  <c r="I98" i="11"/>
  <c r="E99" i="11"/>
  <c r="G99" i="11"/>
  <c r="H99" i="11"/>
  <c r="I99" i="11"/>
  <c r="E100" i="11"/>
  <c r="G100" i="11"/>
  <c r="H100" i="11"/>
  <c r="I100" i="11"/>
  <c r="E101" i="11"/>
  <c r="G101" i="11"/>
  <c r="H101" i="11"/>
  <c r="I101" i="11"/>
  <c r="E105" i="11"/>
  <c r="G105" i="11"/>
  <c r="H105" i="11"/>
  <c r="I105" i="11"/>
  <c r="E106" i="11"/>
  <c r="G106" i="11"/>
  <c r="H106" i="11"/>
  <c r="I106" i="11"/>
  <c r="E107" i="11"/>
  <c r="G107" i="11"/>
  <c r="H107" i="11"/>
  <c r="I107" i="11"/>
  <c r="I4" i="10"/>
  <c r="T4" i="10"/>
  <c r="I5" i="10"/>
  <c r="T5" i="10"/>
  <c r="I6" i="10"/>
  <c r="T6" i="10"/>
  <c r="I7" i="10"/>
  <c r="T7" i="10"/>
  <c r="I8" i="10"/>
  <c r="T8" i="10"/>
  <c r="I9" i="10"/>
  <c r="T9" i="10"/>
  <c r="I10" i="10"/>
  <c r="T10" i="10"/>
  <c r="I11" i="10"/>
  <c r="T11" i="10"/>
  <c r="I12" i="10"/>
  <c r="T12" i="10"/>
  <c r="I13" i="10"/>
  <c r="T13" i="10"/>
  <c r="I14" i="10"/>
  <c r="T14" i="10"/>
  <c r="I15" i="10"/>
  <c r="T15" i="10"/>
  <c r="I16" i="10"/>
  <c r="T16" i="10"/>
  <c r="I17" i="10"/>
  <c r="T17" i="10"/>
  <c r="I18" i="10"/>
  <c r="T18" i="10"/>
  <c r="I19" i="10"/>
  <c r="T19" i="10"/>
  <c r="I20" i="10"/>
  <c r="T20" i="10"/>
  <c r="I21" i="10"/>
  <c r="T21" i="10"/>
  <c r="I22" i="10"/>
  <c r="T2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I39" i="13" l="1"/>
  <c r="I37" i="13"/>
  <c r="I35" i="13"/>
  <c r="I27" i="13"/>
  <c r="I25" i="13"/>
  <c r="I23" i="13"/>
  <c r="I21" i="13"/>
  <c r="I12" i="13"/>
  <c r="I10" i="13"/>
  <c r="I8" i="13"/>
  <c r="I6" i="13"/>
  <c r="I4" i="13"/>
  <c r="I9" i="13"/>
  <c r="I123" i="12"/>
  <c r="H123" i="12"/>
  <c r="H11" i="12"/>
  <c r="I11" i="12" s="1"/>
  <c r="H112" i="12"/>
  <c r="I112" i="12" s="1"/>
  <c r="H20" i="12"/>
  <c r="I20" i="12" s="1"/>
  <c r="I121" i="12"/>
  <c r="H121" i="12"/>
  <c r="H70" i="12"/>
  <c r="I70" i="12"/>
  <c r="H9" i="12"/>
  <c r="I9" i="12"/>
  <c r="H127" i="12"/>
  <c r="I127" i="12" s="1"/>
  <c r="I110" i="12"/>
  <c r="H110" i="12"/>
  <c r="H93" i="12"/>
  <c r="I93" i="12" s="1"/>
  <c r="H76" i="12"/>
  <c r="I76" i="12"/>
  <c r="H59" i="12"/>
  <c r="I59" i="12"/>
  <c r="I38" i="12"/>
  <c r="H38" i="12"/>
  <c r="H16" i="12"/>
  <c r="I16" i="12" s="1"/>
  <c r="H106" i="12"/>
  <c r="I106" i="12" s="1"/>
  <c r="H89" i="12"/>
  <c r="I89" i="12" s="1"/>
  <c r="I72" i="12"/>
  <c r="H72" i="12"/>
  <c r="H55" i="12"/>
  <c r="I55" i="12" s="1"/>
  <c r="H33" i="12"/>
  <c r="I33" i="12" s="1"/>
  <c r="H95" i="12"/>
  <c r="I95" i="12" s="1"/>
  <c r="I78" i="12"/>
  <c r="H78" i="12"/>
  <c r="H61" i="12"/>
  <c r="I61" i="12" s="1"/>
  <c r="H40" i="12"/>
  <c r="I40" i="12"/>
  <c r="H18" i="12"/>
  <c r="I18" i="12" s="1"/>
  <c r="I119" i="12"/>
  <c r="H119" i="12"/>
  <c r="H102" i="12"/>
  <c r="I102" i="12" s="1"/>
  <c r="H84" i="12"/>
  <c r="I84" i="12" s="1"/>
  <c r="H67" i="12"/>
  <c r="I67" i="12" s="1"/>
  <c r="I46" i="12"/>
  <c r="H46" i="12"/>
  <c r="H29" i="12"/>
  <c r="I29" i="12" s="1"/>
  <c r="H7" i="12"/>
  <c r="I7" i="12" s="1"/>
  <c r="H125" i="12"/>
  <c r="I125" i="12"/>
  <c r="H108" i="12"/>
  <c r="I108" i="12" s="1"/>
  <c r="H91" i="12"/>
  <c r="I91" i="12"/>
  <c r="H74" i="12"/>
  <c r="I74" i="12" s="1"/>
  <c r="H57" i="12"/>
  <c r="I57" i="12" s="1"/>
  <c r="I35" i="12"/>
  <c r="H35" i="12"/>
  <c r="H14" i="12"/>
  <c r="I14" i="12" s="1"/>
  <c r="H115" i="12"/>
  <c r="I115" i="12" s="1"/>
  <c r="H97" i="12"/>
  <c r="I97" i="12" s="1"/>
  <c r="I80" i="12"/>
  <c r="H80" i="12"/>
  <c r="H63" i="12"/>
  <c r="I63" i="12" s="1"/>
  <c r="H42" i="12"/>
  <c r="I42" i="12" s="1"/>
  <c r="H104" i="12"/>
  <c r="I104" i="12" s="1"/>
  <c r="I87" i="12"/>
  <c r="H87" i="12"/>
  <c r="H53" i="12"/>
  <c r="I53" i="12" s="1"/>
  <c r="H31" i="12"/>
  <c r="I31" i="12" s="1"/>
  <c r="H117" i="12"/>
  <c r="I117" i="12"/>
  <c r="H99" i="12"/>
  <c r="I99" i="12" s="1"/>
  <c r="H82" i="12"/>
  <c r="I82" i="12"/>
  <c r="H65" i="12"/>
  <c r="I65" i="12" s="1"/>
  <c r="H44" i="12"/>
  <c r="I44" i="12" s="1"/>
  <c r="I22" i="12"/>
  <c r="H22" i="12"/>
  <c r="H5" i="12"/>
  <c r="I5" i="12" s="1"/>
  <c r="H4" i="11"/>
  <c r="I4" i="11"/>
  <c r="H5" i="11"/>
  <c r="I5" i="11" s="1"/>
  <c r="L7" i="7"/>
  <c r="L6" i="7"/>
  <c r="H3" i="7"/>
  <c r="H4" i="7"/>
  <c r="H5" i="7"/>
  <c r="H6" i="7"/>
  <c r="H7" i="7"/>
  <c r="H8" i="7"/>
  <c r="H9" i="7"/>
  <c r="H10" i="7"/>
  <c r="K10" i="7" s="1"/>
  <c r="K5" i="7"/>
  <c r="K11" i="7"/>
  <c r="K3" i="7"/>
  <c r="K4" i="7"/>
  <c r="K6" i="7"/>
  <c r="K7" i="7"/>
  <c r="K8" i="7"/>
  <c r="K9" i="7"/>
  <c r="J10" i="8"/>
  <c r="K10" i="8" s="1"/>
  <c r="I10" i="8"/>
  <c r="J9" i="8"/>
  <c r="I9" i="8"/>
  <c r="J8" i="8"/>
  <c r="I8" i="8"/>
  <c r="K8" i="8" s="1"/>
  <c r="J7" i="8"/>
  <c r="I7" i="8"/>
  <c r="N6" i="8"/>
  <c r="J6" i="8"/>
  <c r="I6" i="8"/>
  <c r="N5" i="8"/>
  <c r="J5" i="8"/>
  <c r="I5" i="8"/>
  <c r="K5" i="8" s="1"/>
  <c r="N4" i="8"/>
  <c r="J4" i="8"/>
  <c r="I4" i="8"/>
  <c r="J3" i="8"/>
  <c r="I3" i="8"/>
  <c r="K12" i="7"/>
  <c r="I3" i="5"/>
  <c r="I4" i="5"/>
  <c r="I5" i="5"/>
  <c r="I6" i="5"/>
  <c r="I7" i="5"/>
  <c r="I8" i="5"/>
  <c r="I9" i="5"/>
  <c r="I10" i="5"/>
  <c r="I11" i="5"/>
  <c r="I12" i="5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K3" i="6" s="1"/>
  <c r="J4" i="5"/>
  <c r="J5" i="5"/>
  <c r="K5" i="5" s="1"/>
  <c r="J6" i="5"/>
  <c r="K6" i="5" s="1"/>
  <c r="J7" i="5"/>
  <c r="K7" i="5" s="1"/>
  <c r="J8" i="5"/>
  <c r="K8" i="5" s="1"/>
  <c r="J9" i="5"/>
  <c r="J10" i="5"/>
  <c r="J11" i="5"/>
  <c r="K11" i="5" s="1"/>
  <c r="J12" i="5"/>
  <c r="K12" i="5" s="1"/>
  <c r="J3" i="5"/>
  <c r="L3" i="7" l="1"/>
  <c r="K9" i="8"/>
  <c r="K7" i="8"/>
  <c r="K3" i="8"/>
  <c r="K6" i="8"/>
  <c r="K4" i="8"/>
  <c r="K11" i="6"/>
  <c r="L12" i="7"/>
  <c r="L11" i="7"/>
  <c r="L10" i="7"/>
  <c r="L4" i="7"/>
  <c r="L5" i="7"/>
  <c r="L9" i="7"/>
  <c r="L8" i="7"/>
  <c r="K3" i="5"/>
  <c r="K4" i="5"/>
  <c r="K10" i="5"/>
  <c r="K9" i="5"/>
  <c r="K9" i="6"/>
  <c r="K7" i="6"/>
  <c r="K12" i="6"/>
  <c r="K6" i="6"/>
  <c r="K4" i="6"/>
  <c r="K10" i="6"/>
  <c r="K5" i="6"/>
  <c r="K8" i="6"/>
  <c r="K13" i="5"/>
  <c r="K14" i="5" s="1"/>
  <c r="K15" i="5" s="1"/>
  <c r="K11" i="8" l="1"/>
  <c r="K12" i="8" s="1"/>
  <c r="K13" i="8" s="1"/>
  <c r="L13" i="7"/>
  <c r="K13" i="6"/>
  <c r="K14" i="6" s="1"/>
  <c r="K15" i="6" s="1"/>
  <c r="L14" i="7" l="1"/>
  <c r="L15" i="7" s="1"/>
</calcChain>
</file>

<file path=xl/sharedStrings.xml><?xml version="1.0" encoding="utf-8"?>
<sst xmlns="http://schemas.openxmlformats.org/spreadsheetml/2006/main" count="692" uniqueCount="466">
  <si>
    <t>S. No.</t>
  </si>
  <si>
    <t>Item Description</t>
  </si>
  <si>
    <t>RATE (P/MTR.)</t>
  </si>
  <si>
    <t>F.O.R. -- Ex Our Indore Godown (local freight extra at actual)</t>
  </si>
  <si>
    <t>UOM</t>
  </si>
  <si>
    <t>AMOUNT</t>
  </si>
  <si>
    <t>SUB TOTAL (GST Extra @ 18 %)</t>
  </si>
  <si>
    <t>MTR.</t>
  </si>
  <si>
    <t>LP</t>
  </si>
  <si>
    <t>DISCOUNT</t>
  </si>
  <si>
    <t>COIL LENGTH(METER)</t>
  </si>
  <si>
    <t>COIL QTY.</t>
  </si>
  <si>
    <t>QTY(MTR)</t>
  </si>
  <si>
    <t>RG 6 TV CABLE 305 MTR. COILS RR MAKE</t>
  </si>
  <si>
    <t>10 SQMM. RR MAKE FRLSH WIRE COILS 100 MTRS.</t>
  </si>
  <si>
    <t>16 SQMM. RR MAKE FRLSH WIRE COILS 100 MTRS.</t>
  </si>
  <si>
    <t xml:space="preserve">CAT 6 RR 305 MTR COILS RR MAKE </t>
  </si>
  <si>
    <t>10 SQMM. RR MAKE FR WIRE COILS 100 MTRS.</t>
  </si>
  <si>
    <t>16 SQMM. RR MAKE FR WIRE COILS 100 MTRS.</t>
  </si>
  <si>
    <t>0.75 SQMM. RR MAKE FR WIRE COILS 200 MTRS.</t>
  </si>
  <si>
    <t>1 SQMM. RR MAKE FR WIRE COILS 200 MTRS.</t>
  </si>
  <si>
    <t>1.5 SQMM. RR MAKE FR WIRE COILS 200 MTRS.</t>
  </si>
  <si>
    <t>2.5 SQMM. RR MAKE FR WIRE COILS 200 MTRS.</t>
  </si>
  <si>
    <t>4 SQMM. RR MAKE FR WIRE COILS 200 MTRS.</t>
  </si>
  <si>
    <t xml:space="preserve">6 SQMM. RR MAKE FR WIRE COILS 200 MTRS. </t>
  </si>
  <si>
    <t xml:space="preserve">0.75 SQMM. LAPP MAKE FRLSH WIRE COILS 180 MTRS. </t>
  </si>
  <si>
    <t>1 SQMM. LAPP MAKE FRLSH WIRE COILS 180 MTRS.</t>
  </si>
  <si>
    <t>1.5 SQMM. LAPP MAKE FRLSH WIRE COILS 180 MTRS.</t>
  </si>
  <si>
    <t>2.5 SQMM. LAPP MAKE FRLSH WIRE COILS 180 MTRS.</t>
  </si>
  <si>
    <t>4 SQMM. LAPP MAKE FRLSH WIRE COILS 180 MTRS.</t>
  </si>
  <si>
    <t>6 SQMM. LAPP MAKE FRLSH WIRE COILS 180 MTRS.</t>
  </si>
  <si>
    <t>10 SQMM. LAPP MAKE FRLSH WIRE COILS 100 MTRS.</t>
  </si>
  <si>
    <t>16 SQMM. LAPP MAKE FRLSH WIRE COILS 100 MTRS.</t>
  </si>
  <si>
    <t xml:space="preserve">CAT 6 LAPP 305 MTR COILS LAPP MAKE </t>
  </si>
  <si>
    <t>RG 6 TV CABLE 305 MTR. COILS LAPP MAKE</t>
  </si>
  <si>
    <t>COIL LENGTH(MTR)</t>
  </si>
  <si>
    <t>0.75 SQMM. RR MAKE FRLSH WIRE COILS 200 MTRS.</t>
  </si>
  <si>
    <t>1 SQMM. RR MAKE FRLSH WIRE COILS 200 MTRS.</t>
  </si>
  <si>
    <t>1.5 SQMM. RR MAKE FRLSH WIRE COILS 200 MTRS.</t>
  </si>
  <si>
    <t>2.5 SQMM. RR MAKE FRLSH WIRE COILS 200 MTRS.</t>
  </si>
  <si>
    <t>4 SQMM. RR MAKE FRLSH WIRE COILS 200 MTRS.</t>
  </si>
  <si>
    <t xml:space="preserve">6 SQMM. RR MAKE FRLSH WIRE COILS 200 MTRS. </t>
  </si>
  <si>
    <t>F.O.R. -- Ex Our Indore Godown (local FRLSHeight extra at actual)</t>
  </si>
  <si>
    <t>0.75 SQMM. RR MAKE FR WIRE COILS 90 MTRS.</t>
  </si>
  <si>
    <t>1 SQMM. RR MAKE FR WIRE COILS 90 MTRS.</t>
  </si>
  <si>
    <t>1.5 SQMM. RR MAKE FR WIRE COILS 90 MTRS.</t>
  </si>
  <si>
    <t>2.5 SQMM. RR MAKE FR WIRE COILS 90 MTRS.</t>
  </si>
  <si>
    <t>4 SQMM. RR MAKE FR WIRE COILS 90 MTRS.</t>
  </si>
  <si>
    <t xml:space="preserve">6 SQMM. RR MAKE FR WIRE COILS 90 MTRS. </t>
  </si>
  <si>
    <t>LP PER MTR</t>
  </si>
  <si>
    <t>COIL LP</t>
  </si>
  <si>
    <t>CI 4 1/2" H</t>
  </si>
  <si>
    <t>94.0 - 105.0</t>
  </si>
  <si>
    <t>CI 4" H</t>
  </si>
  <si>
    <t>84.0 - 94.0</t>
  </si>
  <si>
    <t>CI 3 1/2" H</t>
  </si>
  <si>
    <t>79.0 - 84.0</t>
  </si>
  <si>
    <t>CI 3 1/4" H</t>
  </si>
  <si>
    <t>73.0 - 79.0</t>
  </si>
  <si>
    <t>CI 3" H</t>
  </si>
  <si>
    <t>66.0 - 73.0</t>
  </si>
  <si>
    <t>CI 2 3/4" H</t>
  </si>
  <si>
    <t>61.0 - 66.0</t>
  </si>
  <si>
    <t>CI 2 1/2" H</t>
  </si>
  <si>
    <t>54.0 - 61.0</t>
  </si>
  <si>
    <t>CI 2 1/4" H</t>
  </si>
  <si>
    <t>49.0 - 54.0</t>
  </si>
  <si>
    <t>CI 2" H</t>
  </si>
  <si>
    <t>43.0 - 49.0</t>
  </si>
  <si>
    <t>CI 1 3/4" H</t>
  </si>
  <si>
    <t>38.0 - 43.0</t>
  </si>
  <si>
    <t>CI 1 1/2" H</t>
  </si>
  <si>
    <t>34.0 - 38.0</t>
  </si>
  <si>
    <t>CI 1 3/8" H</t>
  </si>
  <si>
    <t>30.5 - 34.0</t>
  </si>
  <si>
    <t>CI 1 1/4" H</t>
  </si>
  <si>
    <t>26.0 - 30.5</t>
  </si>
  <si>
    <t>CI 1 1/8" H</t>
  </si>
  <si>
    <t>22.0 - 26.0</t>
  </si>
  <si>
    <t>CI 1" H</t>
  </si>
  <si>
    <t>19.0 - 22.0</t>
  </si>
  <si>
    <t>CI 7/8" H</t>
  </si>
  <si>
    <t>17.0 - 19.0</t>
  </si>
  <si>
    <t>CI 3/4" H</t>
  </si>
  <si>
    <t>15.0 - 17.0</t>
  </si>
  <si>
    <t>CI 5/8" H</t>
  </si>
  <si>
    <t>08.0 - 15.0</t>
  </si>
  <si>
    <t>CI 1/2" H</t>
  </si>
  <si>
    <t>Discounted Price</t>
  </si>
  <si>
    <t>Discount %</t>
  </si>
  <si>
    <t>Price</t>
  </si>
  <si>
    <t>Code</t>
  </si>
  <si>
    <t>Range (From-To)</t>
  </si>
  <si>
    <t>COSMOS SC Heavy Duty Series</t>
  </si>
  <si>
    <t>CIF 016</t>
  </si>
  <si>
    <t>CIF 015</t>
  </si>
  <si>
    <t>CIF 014</t>
  </si>
  <si>
    <t>CIF 013</t>
  </si>
  <si>
    <t>CIF 013A</t>
  </si>
  <si>
    <t>CIF 012</t>
  </si>
  <si>
    <t>CIF 011</t>
  </si>
  <si>
    <t>CIF 011S</t>
  </si>
  <si>
    <t>CIF 010A</t>
  </si>
  <si>
    <t>CIF 010</t>
  </si>
  <si>
    <t>CIF 09</t>
  </si>
  <si>
    <t>CIF 08</t>
  </si>
  <si>
    <t>CIF 07</t>
  </si>
  <si>
    <t>CIF 06A</t>
  </si>
  <si>
    <t>CIF 06</t>
  </si>
  <si>
    <t>CIF 05A</t>
  </si>
  <si>
    <t>CIF 05</t>
  </si>
  <si>
    <t>CIF 04A</t>
  </si>
  <si>
    <t>CIF 04</t>
  </si>
  <si>
    <t>CIF 03</t>
  </si>
  <si>
    <t>CIF 02A</t>
  </si>
  <si>
    <t>CIF 02</t>
  </si>
  <si>
    <t>CIF 01A</t>
  </si>
  <si>
    <t>CIF 01</t>
  </si>
  <si>
    <t>CIF 01S</t>
  </si>
  <si>
    <t>CIF 01SS</t>
  </si>
  <si>
    <t>COSMOS DC - Flameproof</t>
  </si>
  <si>
    <t>CIW 016</t>
  </si>
  <si>
    <t>CIW 015</t>
  </si>
  <si>
    <t>CIW 014</t>
  </si>
  <si>
    <t>CIW 013</t>
  </si>
  <si>
    <t>CIW 013A</t>
  </si>
  <si>
    <t>CIW 012</t>
  </si>
  <si>
    <t>CIW 011</t>
  </si>
  <si>
    <t>CIW 011S</t>
  </si>
  <si>
    <t>CIW 010A</t>
  </si>
  <si>
    <t>CIW 010</t>
  </si>
  <si>
    <t>CIW 09</t>
  </si>
  <si>
    <t>CIW 08</t>
  </si>
  <si>
    <t>CIW 07</t>
  </si>
  <si>
    <t>CIW 06A</t>
  </si>
  <si>
    <t>CIW 06</t>
  </si>
  <si>
    <t>CIW 05A</t>
  </si>
  <si>
    <t>CIW 05</t>
  </si>
  <si>
    <t>CIW 04A</t>
  </si>
  <si>
    <t>CIW 04</t>
  </si>
  <si>
    <t>CIW 03</t>
  </si>
  <si>
    <t>CIW 02A</t>
  </si>
  <si>
    <t>CIW 02</t>
  </si>
  <si>
    <t>CIW 01A</t>
  </si>
  <si>
    <t>CIW 01</t>
  </si>
  <si>
    <t>CIW 01S</t>
  </si>
  <si>
    <t>CIW 01SS</t>
  </si>
  <si>
    <t>COSMOS DC - Weatherproof</t>
  </si>
  <si>
    <t>4"</t>
  </si>
  <si>
    <t>(4")</t>
  </si>
  <si>
    <t>100MM</t>
  </si>
  <si>
    <t>84.5 - 94.0</t>
  </si>
  <si>
    <t>83.5 - 96.0</t>
  </si>
  <si>
    <t>3.1/2"</t>
  </si>
  <si>
    <t>(3.1/2")</t>
  </si>
  <si>
    <t>88MM</t>
  </si>
  <si>
    <t>79.5 - 84.0</t>
  </si>
  <si>
    <t>(3-1/2")</t>
  </si>
  <si>
    <t>79.5 - 83.0</t>
  </si>
  <si>
    <t>3.1/4"</t>
  </si>
  <si>
    <t>(3.1/4")</t>
  </si>
  <si>
    <t>82MM</t>
  </si>
  <si>
    <t>73.5 - 79.0</t>
  </si>
  <si>
    <t>(3-1/4")</t>
  </si>
  <si>
    <t>74.5 - 79.0</t>
  </si>
  <si>
    <t>3"</t>
  </si>
  <si>
    <t>(3")</t>
  </si>
  <si>
    <t>75MM</t>
  </si>
  <si>
    <t>68.5 - 73.0</t>
  </si>
  <si>
    <t>68.5 - 74.0</t>
  </si>
  <si>
    <t>2.3/4"</t>
  </si>
  <si>
    <t>(2.3/4")</t>
  </si>
  <si>
    <t>70MM</t>
  </si>
  <si>
    <t>62.0 - 68.0</t>
  </si>
  <si>
    <t>(2-3/4")</t>
  </si>
  <si>
    <t>60.5 - 68.0</t>
  </si>
  <si>
    <t>2.1/2"</t>
  </si>
  <si>
    <t>(2.1/2")</t>
  </si>
  <si>
    <t>63MM</t>
  </si>
  <si>
    <t>55.5 - 61.0</t>
  </si>
  <si>
    <t>(2-1/2")</t>
  </si>
  <si>
    <t>56.5 - 60.0</t>
  </si>
  <si>
    <t>2.1/4"</t>
  </si>
  <si>
    <t>(2.1/4")</t>
  </si>
  <si>
    <t>57MM</t>
  </si>
  <si>
    <t>50.5 - 55.0</t>
  </si>
  <si>
    <t>(2-1/4")</t>
  </si>
  <si>
    <t>50.5 - 56.0</t>
  </si>
  <si>
    <t>2"</t>
  </si>
  <si>
    <t>(2")</t>
  </si>
  <si>
    <t>50MM</t>
  </si>
  <si>
    <t>44.5 - 50.0</t>
  </si>
  <si>
    <t>43.5 - 50.0</t>
  </si>
  <si>
    <t>(1.3/4")</t>
  </si>
  <si>
    <t>45MM</t>
  </si>
  <si>
    <t>38.5 - 44.0</t>
  </si>
  <si>
    <t>1.3/4"</t>
  </si>
  <si>
    <t>(1-3/4")</t>
  </si>
  <si>
    <t>38.5 - 43.0</t>
  </si>
  <si>
    <t>1.1/2"</t>
  </si>
  <si>
    <t>(1.1/2")</t>
  </si>
  <si>
    <t>38MM</t>
  </si>
  <si>
    <t>34.5 - 38.0</t>
  </si>
  <si>
    <t>(1-1/2")</t>
  </si>
  <si>
    <t>(1.3/8")</t>
  </si>
  <si>
    <t>35MM</t>
  </si>
  <si>
    <t>31.5 - 34.0</t>
  </si>
  <si>
    <t>1.3/8"</t>
  </si>
  <si>
    <t>(1-3/8")</t>
  </si>
  <si>
    <t>1.1/4"</t>
  </si>
  <si>
    <t>(1.1/4")</t>
  </si>
  <si>
    <t>32MM</t>
  </si>
  <si>
    <t>27.5 - 31.0</t>
  </si>
  <si>
    <t>(1-1/4")</t>
  </si>
  <si>
    <t>27.5 - 30.0</t>
  </si>
  <si>
    <t>1.1/8"</t>
  </si>
  <si>
    <t>(1.1/8")</t>
  </si>
  <si>
    <t>28MM</t>
  </si>
  <si>
    <t>24.0 - 27.0</t>
  </si>
  <si>
    <t>(1-1/8")</t>
  </si>
  <si>
    <t>1"</t>
  </si>
  <si>
    <t>(1")</t>
  </si>
  <si>
    <t>25MM</t>
  </si>
  <si>
    <t>20.5 - 23.5</t>
  </si>
  <si>
    <t>3/4"</t>
  </si>
  <si>
    <t>(7/8")</t>
  </si>
  <si>
    <t>22MM</t>
  </si>
  <si>
    <t>19.0 - 20.0</t>
  </si>
  <si>
    <t>18.5 - 20.0</t>
  </si>
  <si>
    <t>(3/4")</t>
  </si>
  <si>
    <t>19MM</t>
  </si>
  <si>
    <t>17.0 - 18.5</t>
  </si>
  <si>
    <t>16.0 - 18.0</t>
  </si>
  <si>
    <t>(5/8")</t>
  </si>
  <si>
    <t>16MM</t>
  </si>
  <si>
    <t>16.0 - 16.5</t>
  </si>
  <si>
    <t>12.5 - 15.5</t>
  </si>
  <si>
    <t>5/8"</t>
  </si>
  <si>
    <t>(1/2")</t>
  </si>
  <si>
    <t>12MM</t>
  </si>
  <si>
    <t>10.5 - 15.5</t>
  </si>
  <si>
    <t>1/2"</t>
  </si>
  <si>
    <t>(3/8")</t>
  </si>
  <si>
    <t>10MM</t>
  </si>
  <si>
    <t>7.00 - 10.0</t>
  </si>
  <si>
    <t>8.00 - 12.0</t>
  </si>
  <si>
    <t>Discount Percent</t>
  </si>
  <si>
    <t>Brass Earth Tag Price (₹)</t>
  </si>
  <si>
    <t>Packing Per Box</t>
  </si>
  <si>
    <t>RATE PER PCS (₹)</t>
  </si>
  <si>
    <t>NIPPLE THREAD ET</t>
  </si>
  <si>
    <t>Size (Inch)</t>
  </si>
  <si>
    <t>Size (MM)</t>
  </si>
  <si>
    <t>Suitable Cable OD (MM)</t>
  </si>
  <si>
    <t>SNO</t>
  </si>
  <si>
    <t>Sno</t>
  </si>
  <si>
    <t>HMI DOUBLE COMPRESSION MEDIUM DUTTY BRASS CG</t>
  </si>
  <si>
    <t>HMI SINGLE COMPRESSION BRASS CG</t>
  </si>
  <si>
    <t>300 SQMM X 1C</t>
  </si>
  <si>
    <t>150 SQMM X 1C</t>
  </si>
  <si>
    <t>70 SQMM X 1C</t>
  </si>
  <si>
    <t xml:space="preserve">NETT PRICE AFTER CD </t>
  </si>
  <si>
    <t xml:space="preserve">CD 2.25 % </t>
  </si>
  <si>
    <t>Nett Price Incl Of GST</t>
  </si>
  <si>
    <t>GST</t>
  </si>
  <si>
    <t xml:space="preserve">DISC. </t>
  </si>
  <si>
    <t>Alluminium Unarmod Cable</t>
  </si>
  <si>
    <t>630 X 4C</t>
  </si>
  <si>
    <t>630 X 3.5C</t>
  </si>
  <si>
    <t>630 X 3C</t>
  </si>
  <si>
    <t>630 X 2C</t>
  </si>
  <si>
    <t>630 SQMM X 1C</t>
  </si>
  <si>
    <t>500 X 4C</t>
  </si>
  <si>
    <t>500 X 3.5C</t>
  </si>
  <si>
    <t>500 X 3C</t>
  </si>
  <si>
    <t>500 X 2C</t>
  </si>
  <si>
    <t>500 SQMM X 1C</t>
  </si>
  <si>
    <t>400 X 4C</t>
  </si>
  <si>
    <t>400 X 3.5C</t>
  </si>
  <si>
    <t>400 X 3C</t>
  </si>
  <si>
    <t>400 X 2C</t>
  </si>
  <si>
    <t>400 SQMM X 1C</t>
  </si>
  <si>
    <t>300 X 4C</t>
  </si>
  <si>
    <t>300 X 3.5C</t>
  </si>
  <si>
    <t>300 X 3C</t>
  </si>
  <si>
    <t>300 X 2C</t>
  </si>
  <si>
    <t>240 X 4C</t>
  </si>
  <si>
    <t>240 X 3.5C</t>
  </si>
  <si>
    <t>240 X 3C</t>
  </si>
  <si>
    <t>240 X 2C</t>
  </si>
  <si>
    <t>240 SQMM X 1C</t>
  </si>
  <si>
    <t>185 X 4C</t>
  </si>
  <si>
    <t>185 X 3.5C</t>
  </si>
  <si>
    <t>185 X 3C</t>
  </si>
  <si>
    <t>185 X 2C</t>
  </si>
  <si>
    <t>185 SQMM X 1C</t>
  </si>
  <si>
    <t>150 X 4C</t>
  </si>
  <si>
    <t>150 X 3.5C</t>
  </si>
  <si>
    <t>150 X 3C</t>
  </si>
  <si>
    <t>150 X 2C</t>
  </si>
  <si>
    <t>120 X 4C</t>
  </si>
  <si>
    <t>120 X 3.5C</t>
  </si>
  <si>
    <t>120 X 3C</t>
  </si>
  <si>
    <t>120 X 2C</t>
  </si>
  <si>
    <t>120 SQMM X 1C</t>
  </si>
  <si>
    <t>95 X 4C</t>
  </si>
  <si>
    <t>95 X 3.5C</t>
  </si>
  <si>
    <t>95 X 3C</t>
  </si>
  <si>
    <t>95 X 2C</t>
  </si>
  <si>
    <t>95 SQMM X 1C</t>
  </si>
  <si>
    <t>70 X 4C</t>
  </si>
  <si>
    <t>70 X 3.5C</t>
  </si>
  <si>
    <t>70 X 3C</t>
  </si>
  <si>
    <t>70 X 2C</t>
  </si>
  <si>
    <t>50 X 4C</t>
  </si>
  <si>
    <t>50 X 3.5C</t>
  </si>
  <si>
    <t xml:space="preserve">                                                                                                                                                                               </t>
  </si>
  <si>
    <t>50 X 3C</t>
  </si>
  <si>
    <t>50 X 2C</t>
  </si>
  <si>
    <t>50 SQMM X 1C</t>
  </si>
  <si>
    <t>35 X 4C</t>
  </si>
  <si>
    <t>35 X 3.5C</t>
  </si>
  <si>
    <t>35 X 3C</t>
  </si>
  <si>
    <t>35 X 2C</t>
  </si>
  <si>
    <t>35 SQMM X 1C</t>
  </si>
  <si>
    <t>25 X 4C</t>
  </si>
  <si>
    <t>25 X 3.5C</t>
  </si>
  <si>
    <t>25 X 3C</t>
  </si>
  <si>
    <t>25 X 2C</t>
  </si>
  <si>
    <t>25 SQMM X 1C</t>
  </si>
  <si>
    <t>16 X 4C</t>
  </si>
  <si>
    <t>16 X 3C</t>
  </si>
  <si>
    <t>16 X 2C</t>
  </si>
  <si>
    <t>16 SQMM X 1C</t>
  </si>
  <si>
    <t>10 X 4C</t>
  </si>
  <si>
    <t>10 X 3C</t>
  </si>
  <si>
    <t>10 SQMM X 2C</t>
  </si>
  <si>
    <t>6 X 4C</t>
  </si>
  <si>
    <t xml:space="preserve">6 X 3C </t>
  </si>
  <si>
    <t xml:space="preserve">6 SQMM X 2C </t>
  </si>
  <si>
    <t xml:space="preserve">4 X 4C </t>
  </si>
  <si>
    <t xml:space="preserve">4 X 3C </t>
  </si>
  <si>
    <t xml:space="preserve">4 SQMM X 2C </t>
  </si>
  <si>
    <t>2.5 X 4C</t>
  </si>
  <si>
    <t>2.5 X 3C</t>
  </si>
  <si>
    <t>2.5 SQMM. X 2C</t>
  </si>
  <si>
    <t>Alluminium Armod Cable</t>
  </si>
  <si>
    <t>400 x 4C</t>
  </si>
  <si>
    <t>300 x 4C</t>
  </si>
  <si>
    <t>240 x 4C</t>
  </si>
  <si>
    <t>185 x 4C</t>
  </si>
  <si>
    <t>150 x 4C</t>
  </si>
  <si>
    <t>120 x 4C</t>
  </si>
  <si>
    <t>95 x 4C</t>
  </si>
  <si>
    <t>70 x 4C</t>
  </si>
  <si>
    <t>50 x 4C</t>
  </si>
  <si>
    <t>35 x 4C</t>
  </si>
  <si>
    <t>25 x 4C</t>
  </si>
  <si>
    <t>16 x 4C</t>
  </si>
  <si>
    <t>10 x 4C</t>
  </si>
  <si>
    <t>6 x 4C</t>
  </si>
  <si>
    <t>4 x 4C</t>
  </si>
  <si>
    <t>400 x 3.5C</t>
  </si>
  <si>
    <t>300 x 3.5C</t>
  </si>
  <si>
    <t>240 x 3.5C</t>
  </si>
  <si>
    <t>185 x 3.5C</t>
  </si>
  <si>
    <t>150 x 3.5C</t>
  </si>
  <si>
    <t>120 x 3.5C</t>
  </si>
  <si>
    <t>95 x 3.5C</t>
  </si>
  <si>
    <t>70 x 3.5C</t>
  </si>
  <si>
    <t>50 x 3.5C</t>
  </si>
  <si>
    <t>35 x 3.5C</t>
  </si>
  <si>
    <t>25 x 3.5C</t>
  </si>
  <si>
    <t>400 x 3C</t>
  </si>
  <si>
    <t>300 x 3C</t>
  </si>
  <si>
    <t>240 x 3C</t>
  </si>
  <si>
    <t>185 x 3C</t>
  </si>
  <si>
    <t>150 x 3C</t>
  </si>
  <si>
    <t>120 x 3C</t>
  </si>
  <si>
    <t>95 x 3C</t>
  </si>
  <si>
    <t>70 x 3C</t>
  </si>
  <si>
    <t>50 x 3C</t>
  </si>
  <si>
    <t>35 x 3C</t>
  </si>
  <si>
    <t>25 x 3C</t>
  </si>
  <si>
    <t>16 x 3C</t>
  </si>
  <si>
    <t>10 x 3C</t>
  </si>
  <si>
    <t>6 x 3C</t>
  </si>
  <si>
    <t>4 x 3C</t>
  </si>
  <si>
    <t>16 x 2C</t>
  </si>
  <si>
    <t>10 x 2C</t>
  </si>
  <si>
    <t>6 x 2C</t>
  </si>
  <si>
    <t>4 SQMM X 2C</t>
  </si>
  <si>
    <t>1000 X 1C</t>
  </si>
  <si>
    <t>800 X 1C</t>
  </si>
  <si>
    <t>630 X 1C</t>
  </si>
  <si>
    <t>500 X 1C</t>
  </si>
  <si>
    <t>400 X 1C</t>
  </si>
  <si>
    <t>300 X 1C</t>
  </si>
  <si>
    <t>240 X 1C</t>
  </si>
  <si>
    <t>185 X 1C</t>
  </si>
  <si>
    <t>150 X 1C</t>
  </si>
  <si>
    <t>120 X 1C</t>
  </si>
  <si>
    <t>95 X 1C</t>
  </si>
  <si>
    <t>70 X 1C</t>
  </si>
  <si>
    <t>50 X 1C</t>
  </si>
  <si>
    <t>35 X 1C</t>
  </si>
  <si>
    <t>25 X 1C</t>
  </si>
  <si>
    <t>16 x 1C</t>
  </si>
  <si>
    <t xml:space="preserve">GST </t>
  </si>
  <si>
    <t>Copper Armod Cable</t>
  </si>
  <si>
    <t>1.5 X 61C</t>
  </si>
  <si>
    <t>1.5 X 52C</t>
  </si>
  <si>
    <t>1.5 X 44C</t>
  </si>
  <si>
    <t>1.5 X 37C</t>
  </si>
  <si>
    <t>1.5 X 30C</t>
  </si>
  <si>
    <t>1.5 X 27C</t>
  </si>
  <si>
    <t>1.5 X 24C</t>
  </si>
  <si>
    <t>1.5 X 19C</t>
  </si>
  <si>
    <t>1.5 X 16C</t>
  </si>
  <si>
    <t>1.5 X 14C</t>
  </si>
  <si>
    <t>1.5 X 12C</t>
  </si>
  <si>
    <t>1.5 X 10C</t>
  </si>
  <si>
    <t>1.5 X 9C</t>
  </si>
  <si>
    <t>1.5 X 8C</t>
  </si>
  <si>
    <t>1.5 X 7C</t>
  </si>
  <si>
    <t>1.5 X 6C</t>
  </si>
  <si>
    <t>1.5 X 5C</t>
  </si>
  <si>
    <t>1.5 X 4C</t>
  </si>
  <si>
    <t>1.5 X 3C</t>
  </si>
  <si>
    <t>1.5 X 2C</t>
  </si>
  <si>
    <t>DISC.</t>
  </si>
  <si>
    <r>
      <rPr>
        <b/>
        <sz val="16"/>
        <color theme="1"/>
        <rFont val="Calibri"/>
        <family val="2"/>
        <scheme val="minor"/>
      </rPr>
      <t>COPPER Armoured Cable 1.5 sqmm</t>
    </r>
    <r>
      <rPr>
        <sz val="11"/>
        <color theme="1"/>
        <rFont val="Calibri"/>
        <family val="2"/>
        <scheme val="minor"/>
      </rPr>
      <t xml:space="preserve"> </t>
    </r>
  </si>
  <si>
    <t>C</t>
  </si>
  <si>
    <t>2.5 X 61C</t>
  </si>
  <si>
    <t>2.5 X 52C</t>
  </si>
  <si>
    <t>2.5 X 44C</t>
  </si>
  <si>
    <t>2.5 X 37C</t>
  </si>
  <si>
    <t>2.5 X 30C</t>
  </si>
  <si>
    <t>2.5 X 27C</t>
  </si>
  <si>
    <t>2.5 X 24C</t>
  </si>
  <si>
    <t>2.5 X 19C</t>
  </si>
  <si>
    <t>2.5 X 16C</t>
  </si>
  <si>
    <t>2.5 X 14C</t>
  </si>
  <si>
    <t>2.5 X 12C</t>
  </si>
  <si>
    <t>2.5 X 10C</t>
  </si>
  <si>
    <t>2.5 X 9C</t>
  </si>
  <si>
    <t>2.5 X 8C</t>
  </si>
  <si>
    <t>2.5 X 7C</t>
  </si>
  <si>
    <t>2.5 X 6C</t>
  </si>
  <si>
    <t>2.5 X 5C</t>
  </si>
  <si>
    <t>2.5 X 2C</t>
  </si>
  <si>
    <t xml:space="preserve">COPPER Armoured Cable 2.5 sqmm </t>
  </si>
  <si>
    <t>400 X 3</t>
  </si>
  <si>
    <t>300 X 3</t>
  </si>
  <si>
    <t>240 X 3</t>
  </si>
  <si>
    <t>185 X 3</t>
  </si>
  <si>
    <t>150 X 3</t>
  </si>
  <si>
    <t>120 X 3</t>
  </si>
  <si>
    <t>95 X 3</t>
  </si>
  <si>
    <t>22 KV        3 CORE HT XLPE</t>
  </si>
  <si>
    <t xml:space="preserve">  </t>
  </si>
  <si>
    <t>33 KV        3 CORE HT XLPE</t>
  </si>
  <si>
    <t>70 X 3</t>
  </si>
  <si>
    <t>50 X 3</t>
  </si>
  <si>
    <t>35 X 3</t>
  </si>
  <si>
    <t>11 KV        3 CORE HT XLPE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</si>
</sst>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right" vertical="top"/>
    </xf>
    <xf numFmtId="0" fontId="1" fillId="0" borderId="0" xfId="0" applyFont="1" applyAlignment="1">
      <alignment vertical="top"/>
    </xf>
    <xf numFmtId="4" fontId="0" fillId="2" borderId="0" xfId="0" applyNumberFormat="1" applyFill="1"/>
    <xf numFmtId="9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6" fillId="3" borderId="0" xfId="0" applyFont="1" applyFill="1"/>
    <xf numFmtId="0" fontId="6" fillId="2" borderId="1" xfId="0" applyFont="1" applyFill="1" applyBorder="1"/>
    <xf numFmtId="0" fontId="6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7" fillId="0" borderId="0" xfId="0" applyFont="1"/>
    <xf numFmtId="0" fontId="0" fillId="0" borderId="4" xfId="0" applyBorder="1"/>
    <xf numFmtId="0" fontId="8" fillId="0" borderId="4" xfId="0" applyFont="1" applyBorder="1"/>
    <xf numFmtId="2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2" fontId="9" fillId="4" borderId="1" xfId="0" applyNumberFormat="1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2" fontId="6" fillId="0" borderId="1" xfId="0" applyNumberFormat="1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8E03-072B-49AF-AFAC-9F19B9922B12}">
  <dimension ref="B2:M40"/>
  <sheetViews>
    <sheetView tabSelected="1" workbookViewId="0">
      <selection activeCell="J6" sqref="J6"/>
    </sheetView>
  </sheetViews>
  <sheetFormatPr defaultColWidth="9.109375" defaultRowHeight="14.4" x14ac:dyDescent="0.3"/>
  <cols>
    <col min="1" max="4" width="9.109375" style="2"/>
    <col min="5" max="5" width="10.44140625" style="2" customWidth="1"/>
    <col min="6" max="6" width="8.44140625" style="2" customWidth="1"/>
    <col min="7" max="16384" width="9.109375" style="2"/>
  </cols>
  <sheetData>
    <row r="2" spans="2:10" x14ac:dyDescent="0.3">
      <c r="C2" s="17"/>
    </row>
    <row r="3" spans="2:10" ht="78" customHeight="1" x14ac:dyDescent="0.3">
      <c r="B3" s="50" t="s">
        <v>465</v>
      </c>
      <c r="C3" s="45" t="s">
        <v>8</v>
      </c>
      <c r="D3" s="35" t="s">
        <v>265</v>
      </c>
      <c r="E3" s="49" t="s">
        <v>88</v>
      </c>
      <c r="F3" s="33" t="s">
        <v>408</v>
      </c>
      <c r="G3" s="47" t="s">
        <v>263</v>
      </c>
      <c r="H3" s="47" t="s">
        <v>262</v>
      </c>
      <c r="I3" s="47" t="s">
        <v>261</v>
      </c>
      <c r="J3" s="63"/>
    </row>
    <row r="4" spans="2:10" ht="15.6" x14ac:dyDescent="0.3">
      <c r="B4" s="52" t="s">
        <v>464</v>
      </c>
      <c r="C4" s="45">
        <v>1774</v>
      </c>
      <c r="D4" s="44">
        <v>75</v>
      </c>
      <c r="E4" s="43">
        <f>C4-(C4*D4/100)</f>
        <v>443.5</v>
      </c>
      <c r="F4" s="40">
        <v>18</v>
      </c>
      <c r="G4" s="40">
        <f>E4+(E4*F4/100)</f>
        <v>523.33000000000004</v>
      </c>
      <c r="H4" s="41">
        <f>G4*2.25/100</f>
        <v>11.774925000000001</v>
      </c>
      <c r="I4" s="40">
        <f>G4-H4</f>
        <v>511.55507500000004</v>
      </c>
      <c r="J4" s="63"/>
    </row>
    <row r="5" spans="2:10" ht="15.6" x14ac:dyDescent="0.3">
      <c r="B5" s="52" t="s">
        <v>463</v>
      </c>
      <c r="C5" s="45">
        <v>2120</v>
      </c>
      <c r="D5" s="44">
        <v>75</v>
      </c>
      <c r="E5" s="43">
        <f>C5-(C5*D5/100)</f>
        <v>530</v>
      </c>
      <c r="F5" s="40">
        <v>18</v>
      </c>
      <c r="G5" s="40">
        <f>E5+(E5*F5/100)</f>
        <v>625.4</v>
      </c>
      <c r="H5" s="41">
        <f>G5*2.25/100</f>
        <v>14.071499999999999</v>
      </c>
      <c r="I5" s="40">
        <f>G5-H5</f>
        <v>611.32849999999996</v>
      </c>
      <c r="J5" s="63"/>
    </row>
    <row r="6" spans="2:10" ht="15.6" x14ac:dyDescent="0.3">
      <c r="B6" s="52" t="s">
        <v>462</v>
      </c>
      <c r="C6" s="45">
        <v>2583</v>
      </c>
      <c r="D6" s="44">
        <v>75</v>
      </c>
      <c r="E6" s="43">
        <f>C6-(C6*D6/100)</f>
        <v>645.75</v>
      </c>
      <c r="F6" s="40">
        <v>18</v>
      </c>
      <c r="G6" s="40">
        <f>E6+(E6*F6/100)</f>
        <v>761.98500000000001</v>
      </c>
      <c r="H6" s="41">
        <f>G6*2.25/100</f>
        <v>17.144662499999999</v>
      </c>
      <c r="I6" s="40">
        <f>G6-H6</f>
        <v>744.84033750000003</v>
      </c>
      <c r="J6" s="63"/>
    </row>
    <row r="7" spans="2:10" ht="15.6" x14ac:dyDescent="0.3">
      <c r="B7" s="52" t="s">
        <v>458</v>
      </c>
      <c r="C7" s="45">
        <v>2930</v>
      </c>
      <c r="D7" s="44">
        <v>75</v>
      </c>
      <c r="E7" s="43">
        <f>C7-(C7*D7/100)</f>
        <v>732.5</v>
      </c>
      <c r="F7" s="40">
        <v>18</v>
      </c>
      <c r="G7" s="40">
        <f>E7+(E7*F7/100)</f>
        <v>864.35</v>
      </c>
      <c r="H7" s="41">
        <f>G7*2.25/100</f>
        <v>19.447875</v>
      </c>
      <c r="I7" s="40">
        <f>G7-H7</f>
        <v>844.90212500000007</v>
      </c>
      <c r="J7" s="63"/>
    </row>
    <row r="8" spans="2:10" ht="15.6" x14ac:dyDescent="0.3">
      <c r="B8" s="52" t="s">
        <v>457</v>
      </c>
      <c r="C8" s="45">
        <v>3538</v>
      </c>
      <c r="D8" s="44">
        <v>75</v>
      </c>
      <c r="E8" s="43">
        <f>C8-(C8*D8/100)</f>
        <v>884.5</v>
      </c>
      <c r="F8" s="40">
        <v>18</v>
      </c>
      <c r="G8" s="40">
        <f>E8+(E8*F8/100)</f>
        <v>1043.71</v>
      </c>
      <c r="H8" s="41">
        <f>G8*2.25/100</f>
        <v>23.483474999999999</v>
      </c>
      <c r="I8" s="40">
        <f>G8-H8</f>
        <v>1020.226525</v>
      </c>
      <c r="J8" s="63"/>
    </row>
    <row r="9" spans="2:10" ht="15.6" x14ac:dyDescent="0.3">
      <c r="B9" s="52" t="s">
        <v>456</v>
      </c>
      <c r="C9" s="45">
        <v>4144</v>
      </c>
      <c r="D9" s="44">
        <v>75</v>
      </c>
      <c r="E9" s="43">
        <f>C9-(C9*D9/100)</f>
        <v>1036</v>
      </c>
      <c r="F9" s="40">
        <v>18</v>
      </c>
      <c r="G9" s="40">
        <f>E9+(E9*F9/100)</f>
        <v>1222.48</v>
      </c>
      <c r="H9" s="41">
        <f>G9*2.25/100</f>
        <v>27.505800000000001</v>
      </c>
      <c r="I9" s="40">
        <f>G9-H9</f>
        <v>1194.9742000000001</v>
      </c>
      <c r="J9" s="63"/>
    </row>
    <row r="10" spans="2:10" ht="15.6" x14ac:dyDescent="0.3">
      <c r="B10" s="52" t="s">
        <v>455</v>
      </c>
      <c r="C10" s="45">
        <v>4725</v>
      </c>
      <c r="D10" s="44">
        <v>75</v>
      </c>
      <c r="E10" s="43">
        <f>C10-(C10*D10/100)</f>
        <v>1181.25</v>
      </c>
      <c r="F10" s="40">
        <v>18</v>
      </c>
      <c r="G10" s="40">
        <f>E10+(E10*F10/100)</f>
        <v>1393.875</v>
      </c>
      <c r="H10" s="41">
        <f>G10*2.25/100</f>
        <v>31.362187500000001</v>
      </c>
      <c r="I10" s="40">
        <f>G10-H10</f>
        <v>1362.5128125000001</v>
      </c>
      <c r="J10" s="63"/>
    </row>
    <row r="11" spans="2:10" ht="15.6" x14ac:dyDescent="0.3">
      <c r="B11" s="52" t="s">
        <v>454</v>
      </c>
      <c r="C11" s="45">
        <v>5725</v>
      </c>
      <c r="D11" s="44">
        <v>75</v>
      </c>
      <c r="E11" s="43">
        <f>C11-(C11*D11/100)</f>
        <v>1431.25</v>
      </c>
      <c r="F11" s="40">
        <v>18</v>
      </c>
      <c r="G11" s="40">
        <f>E11+(E11*F11/100)</f>
        <v>1688.875</v>
      </c>
      <c r="H11" s="41">
        <f>G11*2.25/100</f>
        <v>37.9996875</v>
      </c>
      <c r="I11" s="40">
        <f>G11-H11</f>
        <v>1650.8753125000001</v>
      </c>
      <c r="J11" s="63"/>
    </row>
    <row r="12" spans="2:10" ht="15.6" x14ac:dyDescent="0.3">
      <c r="B12" s="52" t="s">
        <v>453</v>
      </c>
      <c r="C12" s="45">
        <v>6771</v>
      </c>
      <c r="D12" s="44">
        <v>75</v>
      </c>
      <c r="E12" s="43">
        <f>C12-(C12*D12/100)</f>
        <v>1692.75</v>
      </c>
      <c r="F12" s="40">
        <v>18</v>
      </c>
      <c r="G12" s="40">
        <f>E12+(E12*F12/100)</f>
        <v>1997.4449999999999</v>
      </c>
      <c r="H12" s="41">
        <f>G12*2.25/100</f>
        <v>44.942512499999999</v>
      </c>
      <c r="I12" s="40">
        <f>G12-H12</f>
        <v>1952.5024874999999</v>
      </c>
      <c r="J12" s="63"/>
    </row>
    <row r="13" spans="2:10" ht="15.6" x14ac:dyDescent="0.3">
      <c r="B13" s="52" t="s">
        <v>452</v>
      </c>
      <c r="C13" s="45">
        <v>8473</v>
      </c>
      <c r="D13" s="44">
        <v>75</v>
      </c>
      <c r="E13" s="43">
        <f>C13-(C13*D13/100)</f>
        <v>2118.25</v>
      </c>
      <c r="F13" s="40">
        <v>18</v>
      </c>
      <c r="G13" s="40">
        <f>E13+(E13*F13/100)</f>
        <v>2499.5349999999999</v>
      </c>
      <c r="H13" s="41">
        <f>G13*2.25/100</f>
        <v>56.239537499999997</v>
      </c>
      <c r="I13" s="40">
        <f>G13-H13</f>
        <v>2443.2954624999998</v>
      </c>
      <c r="J13" s="63"/>
    </row>
    <row r="14" spans="2:10" x14ac:dyDescent="0.3">
      <c r="C14" s="17"/>
    </row>
    <row r="15" spans="2:10" x14ac:dyDescent="0.3">
      <c r="C15" s="17"/>
    </row>
    <row r="16" spans="2:10" x14ac:dyDescent="0.3">
      <c r="C16" s="17"/>
    </row>
    <row r="17" spans="2:13" x14ac:dyDescent="0.3">
      <c r="C17" s="17"/>
    </row>
    <row r="18" spans="2:13" x14ac:dyDescent="0.3">
      <c r="C18" s="17"/>
    </row>
    <row r="19" spans="2:13" x14ac:dyDescent="0.3">
      <c r="C19" s="17"/>
    </row>
    <row r="20" spans="2:13" ht="75.75" customHeight="1" x14ac:dyDescent="0.3">
      <c r="B20" s="50" t="s">
        <v>461</v>
      </c>
      <c r="C20" s="45" t="s">
        <v>8</v>
      </c>
      <c r="D20" s="35" t="s">
        <v>265</v>
      </c>
      <c r="E20" s="49" t="s">
        <v>88</v>
      </c>
      <c r="F20" s="33" t="s">
        <v>408</v>
      </c>
      <c r="G20" s="47" t="s">
        <v>263</v>
      </c>
      <c r="H20" s="47" t="s">
        <v>262</v>
      </c>
      <c r="I20" s="47" t="s">
        <v>261</v>
      </c>
      <c r="M20" s="2" t="s">
        <v>460</v>
      </c>
    </row>
    <row r="21" spans="2:13" ht="15.6" x14ac:dyDescent="0.3">
      <c r="B21" s="52" t="s">
        <v>458</v>
      </c>
      <c r="C21" s="45">
        <v>5355</v>
      </c>
      <c r="D21" s="44">
        <v>77</v>
      </c>
      <c r="E21" s="43">
        <f>C21-(C21*D21/100)</f>
        <v>1231.6499999999996</v>
      </c>
      <c r="F21" s="40">
        <v>18</v>
      </c>
      <c r="G21" s="40">
        <f>E21+(E21*F21/100)</f>
        <v>1453.3469999999995</v>
      </c>
      <c r="H21" s="41">
        <f>G21*2.25/100</f>
        <v>32.700307499999987</v>
      </c>
      <c r="I21" s="40">
        <f>G21-H21</f>
        <v>1420.6466924999995</v>
      </c>
    </row>
    <row r="22" spans="2:13" ht="15.6" x14ac:dyDescent="0.3">
      <c r="B22" s="52" t="s">
        <v>457</v>
      </c>
      <c r="C22" s="45">
        <v>6037</v>
      </c>
      <c r="D22" s="44">
        <v>75</v>
      </c>
      <c r="E22" s="43">
        <f>C22-(C22*D22/100)</f>
        <v>1509.25</v>
      </c>
      <c r="F22" s="40">
        <v>18</v>
      </c>
      <c r="G22" s="40">
        <f>E22+(E22*F22/100)</f>
        <v>1780.915</v>
      </c>
      <c r="H22" s="41">
        <f>G22*2.25/100</f>
        <v>40.070587500000002</v>
      </c>
      <c r="I22" s="40">
        <f>G22-H22</f>
        <v>1740.8444124999999</v>
      </c>
    </row>
    <row r="23" spans="2:13" ht="15.6" x14ac:dyDescent="0.3">
      <c r="B23" s="52" t="s">
        <v>456</v>
      </c>
      <c r="C23" s="45">
        <v>6489</v>
      </c>
      <c r="D23" s="44">
        <v>75</v>
      </c>
      <c r="E23" s="43">
        <f>C23-(C23*D23/100)</f>
        <v>1622.25</v>
      </c>
      <c r="F23" s="40">
        <v>18</v>
      </c>
      <c r="G23" s="40">
        <f>E23+(E23*F23/100)</f>
        <v>1914.2550000000001</v>
      </c>
      <c r="H23" s="41">
        <f>G23*2.25/100</f>
        <v>43.070737500000007</v>
      </c>
      <c r="I23" s="40">
        <f>G23-H23</f>
        <v>1871.1842625000002</v>
      </c>
    </row>
    <row r="24" spans="2:13" ht="15.6" x14ac:dyDescent="0.3">
      <c r="B24" s="52" t="s">
        <v>455</v>
      </c>
      <c r="C24" s="45">
        <v>7244</v>
      </c>
      <c r="D24" s="44">
        <v>75</v>
      </c>
      <c r="E24" s="43">
        <f>C24-(C24*D24/100)</f>
        <v>1811</v>
      </c>
      <c r="F24" s="40">
        <v>18</v>
      </c>
      <c r="G24" s="40">
        <f>E24+(E24*F24/100)</f>
        <v>2136.98</v>
      </c>
      <c r="H24" s="41">
        <f>G24*2.25/100</f>
        <v>48.082050000000002</v>
      </c>
      <c r="I24" s="40">
        <f>G24-H24</f>
        <v>2088.89795</v>
      </c>
    </row>
    <row r="25" spans="2:13" ht="15.6" x14ac:dyDescent="0.3">
      <c r="B25" s="52" t="s">
        <v>454</v>
      </c>
      <c r="C25" s="45">
        <v>8556</v>
      </c>
      <c r="D25" s="44">
        <v>75</v>
      </c>
      <c r="E25" s="43">
        <f>C25-(C25*D25/100)</f>
        <v>2139</v>
      </c>
      <c r="F25" s="40">
        <v>18</v>
      </c>
      <c r="G25" s="40">
        <f>E25+(E25*F25/100)</f>
        <v>2524.02</v>
      </c>
      <c r="H25" s="41">
        <f>G25*2.25/100</f>
        <v>56.79045</v>
      </c>
      <c r="I25" s="40">
        <f>G25-H25</f>
        <v>2467.22955</v>
      </c>
    </row>
    <row r="26" spans="2:13" ht="15.6" x14ac:dyDescent="0.3">
      <c r="B26" s="52" t="s">
        <v>453</v>
      </c>
      <c r="C26" s="45">
        <v>9659</v>
      </c>
      <c r="D26" s="44">
        <v>75</v>
      </c>
      <c r="E26" s="43">
        <f>C26-(C26*D26/100)</f>
        <v>2414.75</v>
      </c>
      <c r="F26" s="40">
        <v>18</v>
      </c>
      <c r="G26" s="40">
        <f>E26+(E26*F26/100)</f>
        <v>2849.4049999999997</v>
      </c>
      <c r="H26" s="41">
        <f>G26*2.25/100</f>
        <v>64.111612499999993</v>
      </c>
      <c r="I26" s="40">
        <f>G26-H26</f>
        <v>2785.2933874999999</v>
      </c>
    </row>
    <row r="27" spans="2:13" ht="15.6" x14ac:dyDescent="0.3">
      <c r="B27" s="52" t="s">
        <v>452</v>
      </c>
      <c r="C27" s="45">
        <v>11708</v>
      </c>
      <c r="D27" s="44">
        <v>75</v>
      </c>
      <c r="E27" s="43">
        <f>C27-(C27*D27/100)</f>
        <v>2927</v>
      </c>
      <c r="F27" s="40">
        <v>18</v>
      </c>
      <c r="G27" s="40">
        <f>E27+(E27*F27/100)</f>
        <v>3453.86</v>
      </c>
      <c r="H27" s="41">
        <f>G27*2.25/100</f>
        <v>77.711849999999998</v>
      </c>
      <c r="I27" s="40">
        <f>G27-H27</f>
        <v>3376.14815</v>
      </c>
    </row>
    <row r="32" spans="2:13" x14ac:dyDescent="0.3">
      <c r="C32" s="17"/>
    </row>
    <row r="33" spans="2:9" ht="78" customHeight="1" x14ac:dyDescent="0.3">
      <c r="B33" s="50" t="s">
        <v>459</v>
      </c>
      <c r="C33" s="45" t="s">
        <v>8</v>
      </c>
      <c r="D33" s="35" t="s">
        <v>265</v>
      </c>
      <c r="E33" s="49" t="s">
        <v>88</v>
      </c>
      <c r="F33" s="33" t="s">
        <v>408</v>
      </c>
      <c r="G33" s="47" t="s">
        <v>263</v>
      </c>
      <c r="H33" s="47" t="s">
        <v>262</v>
      </c>
      <c r="I33" s="47" t="s">
        <v>261</v>
      </c>
    </row>
    <row r="34" spans="2:9" ht="15.6" x14ac:dyDescent="0.3">
      <c r="B34" s="52" t="s">
        <v>458</v>
      </c>
      <c r="C34" s="45">
        <v>4042</v>
      </c>
      <c r="D34" s="44">
        <v>75</v>
      </c>
      <c r="E34" s="43">
        <f>C34-(C34*D34/100)</f>
        <v>1010.5</v>
      </c>
      <c r="F34" s="40">
        <v>18</v>
      </c>
      <c r="G34" s="40">
        <f>E34+(E34*F34/100)</f>
        <v>1192.3899999999999</v>
      </c>
      <c r="H34" s="41">
        <f>G34*2.25/100</f>
        <v>26.828774999999997</v>
      </c>
      <c r="I34" s="40">
        <f>G34-H34</f>
        <v>1165.5612249999999</v>
      </c>
    </row>
    <row r="35" spans="2:9" ht="15.6" x14ac:dyDescent="0.3">
      <c r="B35" s="52" t="s">
        <v>457</v>
      </c>
      <c r="C35" s="45">
        <v>4541</v>
      </c>
      <c r="D35" s="44">
        <v>75</v>
      </c>
      <c r="E35" s="43">
        <f>C35-(C35*D35/100)</f>
        <v>1135.25</v>
      </c>
      <c r="F35" s="40">
        <v>18</v>
      </c>
      <c r="G35" s="40">
        <f>E35+(E35*F35/100)</f>
        <v>1339.595</v>
      </c>
      <c r="H35" s="41">
        <f>G35*2.25/100</f>
        <v>30.140887499999998</v>
      </c>
      <c r="I35" s="40">
        <f>G35-H35</f>
        <v>1309.4541125000001</v>
      </c>
    </row>
    <row r="36" spans="2:9" ht="15.6" x14ac:dyDescent="0.3">
      <c r="B36" s="52" t="s">
        <v>456</v>
      </c>
      <c r="C36" s="45">
        <v>5208</v>
      </c>
      <c r="D36" s="44">
        <v>75</v>
      </c>
      <c r="E36" s="43">
        <f>C36-(C36*D36/100)</f>
        <v>1302</v>
      </c>
      <c r="F36" s="40">
        <v>18</v>
      </c>
      <c r="G36" s="40">
        <f>E36+(E36*F36/100)</f>
        <v>1536.3600000000001</v>
      </c>
      <c r="H36" s="41">
        <f>G36*2.25/100</f>
        <v>34.568100000000001</v>
      </c>
      <c r="I36" s="40">
        <f>G36-H36</f>
        <v>1501.7919000000002</v>
      </c>
    </row>
    <row r="37" spans="2:9" ht="15.6" x14ac:dyDescent="0.3">
      <c r="B37" s="52" t="s">
        <v>455</v>
      </c>
      <c r="C37" s="45">
        <v>5879</v>
      </c>
      <c r="D37" s="44">
        <v>75</v>
      </c>
      <c r="E37" s="43">
        <f>C37-(C37*D37/100)</f>
        <v>1469.75</v>
      </c>
      <c r="F37" s="40">
        <v>18</v>
      </c>
      <c r="G37" s="40">
        <f>E37+(E37*F37/100)</f>
        <v>1734.3050000000001</v>
      </c>
      <c r="H37" s="41">
        <f>G37*2.25/100</f>
        <v>39.021862500000005</v>
      </c>
      <c r="I37" s="40">
        <f>G37-H37</f>
        <v>1695.2831375000001</v>
      </c>
    </row>
    <row r="38" spans="2:9" ht="15.6" x14ac:dyDescent="0.3">
      <c r="B38" s="52" t="s">
        <v>454</v>
      </c>
      <c r="C38" s="45">
        <v>6940</v>
      </c>
      <c r="D38" s="44">
        <v>75</v>
      </c>
      <c r="E38" s="43">
        <f>C38-(C38*D38/100)</f>
        <v>1735</v>
      </c>
      <c r="F38" s="40">
        <v>18</v>
      </c>
      <c r="G38" s="40">
        <f>E38+(E38*F38/100)</f>
        <v>2047.3</v>
      </c>
      <c r="H38" s="41">
        <f>G38*2.25/100</f>
        <v>46.064250000000001</v>
      </c>
      <c r="I38" s="40">
        <f>G38-H38</f>
        <v>2001.2357500000001</v>
      </c>
    </row>
    <row r="39" spans="2:9" ht="15.6" x14ac:dyDescent="0.3">
      <c r="B39" s="52" t="s">
        <v>453</v>
      </c>
      <c r="C39" s="45">
        <v>8138</v>
      </c>
      <c r="D39" s="44">
        <v>75</v>
      </c>
      <c r="E39" s="43">
        <f>C39-(C39*D39/100)</f>
        <v>2034.5</v>
      </c>
      <c r="F39" s="40">
        <v>18</v>
      </c>
      <c r="G39" s="40">
        <f>E39+(E39*F39/100)</f>
        <v>2400.71</v>
      </c>
      <c r="H39" s="41">
        <f>G39*2.25/100</f>
        <v>54.015974999999997</v>
      </c>
      <c r="I39" s="40">
        <f>G39-H39</f>
        <v>2346.6940250000002</v>
      </c>
    </row>
    <row r="40" spans="2:9" ht="15.6" x14ac:dyDescent="0.3">
      <c r="B40" s="52" t="s">
        <v>452</v>
      </c>
      <c r="C40" s="45">
        <v>9869</v>
      </c>
      <c r="D40" s="44">
        <v>75</v>
      </c>
      <c r="E40" s="43">
        <f>C40-(C40*D40/100)</f>
        <v>2467.25</v>
      </c>
      <c r="F40" s="40">
        <v>18</v>
      </c>
      <c r="G40" s="40">
        <f>E40+(E40*F40/100)</f>
        <v>2911.355</v>
      </c>
      <c r="H40" s="41">
        <f>G40*2.25/100</f>
        <v>65.505487500000001</v>
      </c>
      <c r="I40" s="40">
        <f>G40-H40</f>
        <v>2845.8495124999999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D3D7-ED6A-49FD-8A0A-46AC7FE57AAA}">
  <dimension ref="B2:J128"/>
  <sheetViews>
    <sheetView topLeftCell="A73" zoomScale="81" workbookViewId="0">
      <selection activeCell="D86" sqref="D86"/>
    </sheetView>
  </sheetViews>
  <sheetFormatPr defaultColWidth="9.109375" defaultRowHeight="15.6" x14ac:dyDescent="0.3"/>
  <cols>
    <col min="1" max="1" width="9.109375" style="2"/>
    <col min="2" max="2" width="15.44140625" style="54" customWidth="1"/>
    <col min="3" max="6" width="9.109375" style="2"/>
    <col min="7" max="7" width="12.44140625" style="17" customWidth="1"/>
    <col min="8" max="8" width="9.109375" style="2"/>
    <col min="9" max="9" width="12.88671875" style="2" customWidth="1"/>
    <col min="10" max="16384" width="9.109375" style="2"/>
  </cols>
  <sheetData>
    <row r="2" spans="2:9" ht="21" x14ac:dyDescent="0.3">
      <c r="B2" s="62"/>
      <c r="C2" s="53"/>
      <c r="D2" s="53"/>
      <c r="E2" s="61" t="s">
        <v>451</v>
      </c>
      <c r="F2" s="53"/>
      <c r="G2" s="53"/>
    </row>
    <row r="3" spans="2:9" ht="21" x14ac:dyDescent="0.3">
      <c r="B3" s="62"/>
      <c r="C3" s="53"/>
      <c r="D3" s="53"/>
      <c r="E3" s="61"/>
      <c r="F3" s="53"/>
      <c r="G3" s="53"/>
    </row>
    <row r="4" spans="2:9" ht="46.8" x14ac:dyDescent="0.3">
      <c r="B4" s="57" t="s">
        <v>409</v>
      </c>
      <c r="C4" s="45" t="s">
        <v>8</v>
      </c>
      <c r="D4" s="35" t="s">
        <v>265</v>
      </c>
      <c r="E4" s="49" t="s">
        <v>88</v>
      </c>
      <c r="F4" s="33" t="s">
        <v>264</v>
      </c>
      <c r="G4" s="47" t="s">
        <v>263</v>
      </c>
      <c r="H4" s="47" t="s">
        <v>262</v>
      </c>
      <c r="I4" s="47" t="s">
        <v>261</v>
      </c>
    </row>
    <row r="5" spans="2:9" x14ac:dyDescent="0.3">
      <c r="B5" s="52" t="s">
        <v>450</v>
      </c>
      <c r="C5" s="45">
        <v>356</v>
      </c>
      <c r="D5" s="44">
        <v>75</v>
      </c>
      <c r="E5" s="43">
        <f>C5-(C5*D5/100)</f>
        <v>89</v>
      </c>
      <c r="F5" s="40">
        <v>18</v>
      </c>
      <c r="G5" s="55">
        <f>E5+(E5*F5/100)</f>
        <v>105.02</v>
      </c>
      <c r="H5" s="41">
        <f>G5*2.25/100</f>
        <v>2.3629499999999997</v>
      </c>
      <c r="I5" s="40">
        <f>G5-H5</f>
        <v>102.65705</v>
      </c>
    </row>
    <row r="6" spans="2:9" x14ac:dyDescent="0.3">
      <c r="B6" s="46" t="s">
        <v>344</v>
      </c>
      <c r="C6" s="45">
        <v>460</v>
      </c>
      <c r="D6" s="44">
        <v>75</v>
      </c>
      <c r="E6" s="43">
        <f>C6-(C6*D6/100)</f>
        <v>115</v>
      </c>
      <c r="F6" s="40">
        <v>18</v>
      </c>
      <c r="G6" s="55">
        <f>E6+(E6*F6/100)</f>
        <v>135.69999999999999</v>
      </c>
      <c r="H6" s="41">
        <f>G6*2.25/100</f>
        <v>3.0532499999999998</v>
      </c>
      <c r="I6" s="40">
        <f>G6-H6</f>
        <v>132.64675</v>
      </c>
    </row>
    <row r="7" spans="2:9" x14ac:dyDescent="0.3">
      <c r="B7" s="46" t="s">
        <v>343</v>
      </c>
      <c r="C7" s="45">
        <v>594</v>
      </c>
      <c r="D7" s="44">
        <v>75</v>
      </c>
      <c r="E7" s="43">
        <f>C7-(C7*D7/100)</f>
        <v>148.5</v>
      </c>
      <c r="F7" s="40">
        <v>18</v>
      </c>
      <c r="G7" s="55">
        <f>E7+(E7*F7/100)</f>
        <v>175.23</v>
      </c>
      <c r="H7" s="41">
        <f>G7*2.25/100</f>
        <v>3.9426749999999999</v>
      </c>
      <c r="I7" s="40">
        <f>G7-H7</f>
        <v>171.28732499999998</v>
      </c>
    </row>
    <row r="8" spans="2:9" x14ac:dyDescent="0.3">
      <c r="B8" s="46" t="s">
        <v>449</v>
      </c>
      <c r="C8" s="45">
        <v>729</v>
      </c>
      <c r="D8" s="44">
        <v>75</v>
      </c>
      <c r="E8" s="43">
        <f>C8-(C8*D8/100)</f>
        <v>182.25</v>
      </c>
      <c r="F8" s="40">
        <v>18</v>
      </c>
      <c r="G8" s="55">
        <f>E8+(E8*F8/100)</f>
        <v>215.05500000000001</v>
      </c>
      <c r="H8" s="41">
        <f>G8*2.25/100</f>
        <v>4.8387375000000006</v>
      </c>
      <c r="I8" s="40">
        <f>G8-H8</f>
        <v>210.2162625</v>
      </c>
    </row>
    <row r="9" spans="2:9" x14ac:dyDescent="0.3">
      <c r="B9" s="46" t="s">
        <v>448</v>
      </c>
      <c r="C9" s="45">
        <v>858</v>
      </c>
      <c r="D9" s="44">
        <v>75</v>
      </c>
      <c r="E9" s="43">
        <f>C9-(C9*D9/100)</f>
        <v>214.5</v>
      </c>
      <c r="F9" s="40">
        <v>18</v>
      </c>
      <c r="G9" s="55">
        <f>E9+(E9*F9/100)</f>
        <v>253.11</v>
      </c>
      <c r="H9" s="41">
        <f>G9*2.25/100</f>
        <v>5.6949750000000003</v>
      </c>
      <c r="I9" s="40">
        <f>G9-H9</f>
        <v>247.41502500000001</v>
      </c>
    </row>
    <row r="10" spans="2:9" x14ac:dyDescent="0.3">
      <c r="B10" s="46" t="s">
        <v>447</v>
      </c>
      <c r="C10" s="45">
        <v>968</v>
      </c>
      <c r="D10" s="44">
        <v>75</v>
      </c>
      <c r="E10" s="43">
        <f>C10-(C10*D10/100)</f>
        <v>242</v>
      </c>
      <c r="F10" s="40">
        <v>18</v>
      </c>
      <c r="G10" s="55">
        <f>E10+(E10*F10/100)</f>
        <v>285.56</v>
      </c>
      <c r="H10" s="41">
        <f>G10*2.25/100</f>
        <v>6.4250999999999996</v>
      </c>
      <c r="I10" s="40">
        <f>G10-H10</f>
        <v>279.13490000000002</v>
      </c>
    </row>
    <row r="11" spans="2:9" x14ac:dyDescent="0.3">
      <c r="B11" s="46" t="s">
        <v>446</v>
      </c>
      <c r="C11" s="45">
        <v>1181</v>
      </c>
      <c r="D11" s="44">
        <v>75</v>
      </c>
      <c r="E11" s="43">
        <f>C11-(C11*D11/100)</f>
        <v>295.25</v>
      </c>
      <c r="F11" s="40">
        <v>18</v>
      </c>
      <c r="G11" s="55">
        <f>E11+(E11*F11/100)</f>
        <v>348.39499999999998</v>
      </c>
      <c r="H11" s="41">
        <f>G11*2.25/100</f>
        <v>7.8388874999999993</v>
      </c>
      <c r="I11" s="40">
        <f>G11-H11</f>
        <v>340.55611249999998</v>
      </c>
    </row>
    <row r="12" spans="2:9" hidden="1" x14ac:dyDescent="0.3">
      <c r="B12" s="46" t="s">
        <v>445</v>
      </c>
      <c r="C12" s="45"/>
      <c r="D12" s="44">
        <v>75</v>
      </c>
      <c r="E12" s="43"/>
      <c r="F12" s="40"/>
      <c r="G12" s="55"/>
      <c r="H12" s="41"/>
      <c r="I12" s="40"/>
    </row>
    <row r="13" spans="2:9" x14ac:dyDescent="0.3">
      <c r="B13" s="46" t="s">
        <v>444</v>
      </c>
      <c r="C13" s="45">
        <v>1360</v>
      </c>
      <c r="D13" s="44">
        <v>75</v>
      </c>
      <c r="E13" s="43">
        <f>C13-(C13*D13/100)</f>
        <v>340</v>
      </c>
      <c r="F13" s="40">
        <v>18</v>
      </c>
      <c r="G13" s="55">
        <f>E13+(E13*F13/100)</f>
        <v>401.2</v>
      </c>
      <c r="H13" s="41">
        <f>G13*2.25/100</f>
        <v>9.0269999999999992</v>
      </c>
      <c r="I13" s="40">
        <f>G13-H13</f>
        <v>392.173</v>
      </c>
    </row>
    <row r="14" spans="2:9" x14ac:dyDescent="0.3">
      <c r="B14" s="46" t="s">
        <v>443</v>
      </c>
      <c r="C14" s="45">
        <v>1580</v>
      </c>
      <c r="D14" s="44">
        <v>75</v>
      </c>
      <c r="E14" s="43">
        <f>C14-(C14*D14/100)</f>
        <v>395</v>
      </c>
      <c r="F14" s="40">
        <v>18</v>
      </c>
      <c r="G14" s="55">
        <f>E14+(E14*F14/100)</f>
        <v>466.1</v>
      </c>
      <c r="H14" s="41">
        <f>G14*2.25/100</f>
        <v>10.487250000000001</v>
      </c>
      <c r="I14" s="40">
        <f>G14-H14</f>
        <v>455.61275000000001</v>
      </c>
    </row>
    <row r="15" spans="2:9" x14ac:dyDescent="0.3">
      <c r="B15" s="46" t="s">
        <v>442</v>
      </c>
      <c r="C15" s="45">
        <v>1837</v>
      </c>
      <c r="D15" s="44">
        <v>75</v>
      </c>
      <c r="E15" s="43">
        <f>C15-(C15*D15/100)</f>
        <v>459.25</v>
      </c>
      <c r="F15" s="40">
        <v>18</v>
      </c>
      <c r="G15" s="55">
        <f>E15+(E15*F15/100)</f>
        <v>541.91499999999996</v>
      </c>
      <c r="H15" s="41">
        <f>G15*2.25/100</f>
        <v>12.193087499999999</v>
      </c>
      <c r="I15" s="40">
        <f>G15-H15</f>
        <v>529.72191249999992</v>
      </c>
    </row>
    <row r="16" spans="2:9" x14ac:dyDescent="0.3">
      <c r="B16" s="46" t="s">
        <v>441</v>
      </c>
      <c r="C16" s="45">
        <v>2087</v>
      </c>
      <c r="D16" s="44">
        <v>75</v>
      </c>
      <c r="E16" s="43">
        <f>C16-(C16*D16/100)</f>
        <v>521.75</v>
      </c>
      <c r="F16" s="40">
        <v>18</v>
      </c>
      <c r="G16" s="55">
        <f>E16+(E16*F16/100)</f>
        <v>615.66499999999996</v>
      </c>
      <c r="H16" s="41">
        <f>G16*2.25/100</f>
        <v>13.8524625</v>
      </c>
      <c r="I16" s="40">
        <f>G16-H16</f>
        <v>601.81253749999996</v>
      </c>
    </row>
    <row r="17" spans="2:10" x14ac:dyDescent="0.3">
      <c r="B17" s="46" t="s">
        <v>440</v>
      </c>
      <c r="C17" s="45">
        <v>2457</v>
      </c>
      <c r="D17" s="44">
        <v>75</v>
      </c>
      <c r="E17" s="43">
        <f>C17-(C17*D17/100)</f>
        <v>614.25</v>
      </c>
      <c r="F17" s="40">
        <v>18</v>
      </c>
      <c r="G17" s="55">
        <f>E17+(E17*F17/100)</f>
        <v>724.81500000000005</v>
      </c>
      <c r="H17" s="41">
        <f>G17*2.25/100</f>
        <v>16.308337500000004</v>
      </c>
      <c r="I17" s="40">
        <f>G17-H17</f>
        <v>708.50666250000006</v>
      </c>
    </row>
    <row r="18" spans="2:10" x14ac:dyDescent="0.3">
      <c r="B18" s="46" t="s">
        <v>439</v>
      </c>
      <c r="C18" s="45">
        <v>3076</v>
      </c>
      <c r="D18" s="44">
        <v>75</v>
      </c>
      <c r="E18" s="43">
        <f>C18-(C18*D18/100)</f>
        <v>769</v>
      </c>
      <c r="F18" s="40">
        <v>18</v>
      </c>
      <c r="G18" s="55">
        <f>E18+(E18*F18/100)</f>
        <v>907.42</v>
      </c>
      <c r="H18" s="41">
        <f>G18*2.25/100</f>
        <v>20.41695</v>
      </c>
      <c r="I18" s="40">
        <f>G18-H18</f>
        <v>887.00304999999992</v>
      </c>
    </row>
    <row r="19" spans="2:10" x14ac:dyDescent="0.3">
      <c r="B19" s="46" t="s">
        <v>438</v>
      </c>
      <c r="C19" s="45">
        <v>3450</v>
      </c>
      <c r="D19" s="44">
        <v>75</v>
      </c>
      <c r="E19" s="43">
        <f>C19-(C19*D19/100)</f>
        <v>862.5</v>
      </c>
      <c r="F19" s="40">
        <v>18</v>
      </c>
      <c r="G19" s="55">
        <f>E19+(E19*F19/100)</f>
        <v>1017.75</v>
      </c>
      <c r="H19" s="41">
        <f>G19*2.25/100</f>
        <v>22.899374999999999</v>
      </c>
      <c r="I19" s="40">
        <f>G19-H19</f>
        <v>994.85062500000004</v>
      </c>
    </row>
    <row r="20" spans="2:10" x14ac:dyDescent="0.3">
      <c r="B20" s="46" t="s">
        <v>437</v>
      </c>
      <c r="C20" s="45">
        <v>4149</v>
      </c>
      <c r="D20" s="44">
        <v>75</v>
      </c>
      <c r="E20" s="43">
        <f>C20-(C20*D20/100)</f>
        <v>1037.25</v>
      </c>
      <c r="F20" s="40">
        <v>18</v>
      </c>
      <c r="G20" s="55">
        <f>E20+(E20*F20/100)</f>
        <v>1223.9549999999999</v>
      </c>
      <c r="H20" s="41">
        <f>G20*2.25/100</f>
        <v>27.538987499999998</v>
      </c>
      <c r="I20" s="40">
        <f>G20-H20</f>
        <v>1196.4160124999999</v>
      </c>
    </row>
    <row r="21" spans="2:10" x14ac:dyDescent="0.3">
      <c r="B21" s="46" t="s">
        <v>436</v>
      </c>
      <c r="C21" s="45">
        <v>4847</v>
      </c>
      <c r="D21" s="44">
        <v>75</v>
      </c>
      <c r="E21" s="43">
        <f>C21-(C21*D21/100)</f>
        <v>1211.75</v>
      </c>
      <c r="F21" s="40">
        <v>18</v>
      </c>
      <c r="G21" s="55">
        <f>E21+(E21*F21/100)</f>
        <v>1429.865</v>
      </c>
      <c r="H21" s="41">
        <f>G21*2.25/100</f>
        <v>32.171962499999999</v>
      </c>
      <c r="I21" s="40">
        <f>G21-H21</f>
        <v>1397.6930374999999</v>
      </c>
    </row>
    <row r="22" spans="2:10" x14ac:dyDescent="0.3">
      <c r="B22" s="46" t="s">
        <v>435</v>
      </c>
      <c r="C22" s="45">
        <v>5660</v>
      </c>
      <c r="D22" s="44">
        <v>75</v>
      </c>
      <c r="E22" s="43">
        <f>C22-(C22*D22/100)</f>
        <v>1415</v>
      </c>
      <c r="F22" s="40">
        <v>18</v>
      </c>
      <c r="G22" s="55">
        <f>E22+(E22*F22/100)</f>
        <v>1669.7</v>
      </c>
      <c r="H22" s="41">
        <f>G22*2.25/100</f>
        <v>37.568250000000006</v>
      </c>
      <c r="I22" s="40">
        <f>G22-H22</f>
        <v>1632.13175</v>
      </c>
    </row>
    <row r="23" spans="2:10" hidden="1" x14ac:dyDescent="0.3">
      <c r="B23" s="46" t="s">
        <v>434</v>
      </c>
      <c r="C23" s="45">
        <v>8206</v>
      </c>
      <c r="D23" s="44">
        <v>75</v>
      </c>
      <c r="E23" s="43"/>
      <c r="F23" s="40"/>
      <c r="G23" s="55"/>
      <c r="H23" s="41"/>
      <c r="I23" s="40"/>
    </row>
    <row r="24" spans="2:10" x14ac:dyDescent="0.3">
      <c r="B24" s="46" t="s">
        <v>433</v>
      </c>
      <c r="C24" s="45">
        <v>8206</v>
      </c>
      <c r="D24" s="44">
        <v>75</v>
      </c>
      <c r="E24" s="43">
        <f>C24-(C24*D24/100)</f>
        <v>2051.5</v>
      </c>
      <c r="F24" s="40">
        <v>18</v>
      </c>
      <c r="G24" s="55">
        <f>E24+(E24*F24/100)</f>
        <v>2420.77</v>
      </c>
      <c r="H24" s="41">
        <f>G24*2.25/100</f>
        <v>54.467325000000002</v>
      </c>
      <c r="I24" s="40">
        <f>G24-H24</f>
        <v>2366.3026749999999</v>
      </c>
      <c r="J24" s="2" t="s">
        <v>432</v>
      </c>
    </row>
    <row r="25" spans="2:10" x14ac:dyDescent="0.3">
      <c r="B25" s="60"/>
      <c r="C25" s="17"/>
    </row>
    <row r="26" spans="2:10" ht="21" x14ac:dyDescent="0.3">
      <c r="C26" s="17"/>
      <c r="E26" s="2" t="s">
        <v>431</v>
      </c>
    </row>
    <row r="27" spans="2:10" x14ac:dyDescent="0.3">
      <c r="C27" s="17"/>
    </row>
    <row r="28" spans="2:10" ht="46.8" x14ac:dyDescent="0.3">
      <c r="B28" s="57" t="s">
        <v>409</v>
      </c>
      <c r="C28" s="45" t="s">
        <v>8</v>
      </c>
      <c r="D28" s="35" t="s">
        <v>430</v>
      </c>
      <c r="E28" s="49" t="s">
        <v>88</v>
      </c>
      <c r="F28" s="33" t="s">
        <v>408</v>
      </c>
      <c r="G28" s="47" t="s">
        <v>263</v>
      </c>
      <c r="H28" s="47" t="s">
        <v>262</v>
      </c>
      <c r="I28" s="47" t="s">
        <v>261</v>
      </c>
    </row>
    <row r="29" spans="2:10" x14ac:dyDescent="0.3">
      <c r="B29" s="52" t="s">
        <v>429</v>
      </c>
      <c r="C29" s="45">
        <v>252</v>
      </c>
      <c r="D29" s="44">
        <v>75</v>
      </c>
      <c r="E29" s="43">
        <f>C29-(C29*D29/100)</f>
        <v>63</v>
      </c>
      <c r="F29" s="40">
        <v>18</v>
      </c>
      <c r="G29" s="55">
        <f>E29+(E29*F29/100)</f>
        <v>74.34</v>
      </c>
      <c r="H29" s="41">
        <f>G29*2.25/100</f>
        <v>1.6726500000000002</v>
      </c>
      <c r="I29" s="40">
        <f>G29-H29</f>
        <v>72.667349999999999</v>
      </c>
    </row>
    <row r="30" spans="2:10" x14ac:dyDescent="0.3">
      <c r="B30" s="52" t="s">
        <v>428</v>
      </c>
      <c r="C30" s="45">
        <v>321</v>
      </c>
      <c r="D30" s="44">
        <v>75</v>
      </c>
      <c r="E30" s="43">
        <f>C30-(C30*D30/100)</f>
        <v>80.25</v>
      </c>
      <c r="F30" s="40">
        <v>18</v>
      </c>
      <c r="G30" s="55">
        <f>E30+(E30*F30/100)</f>
        <v>94.694999999999993</v>
      </c>
      <c r="H30" s="41">
        <f>G30*2.25/100</f>
        <v>2.1306374999999997</v>
      </c>
      <c r="I30" s="40">
        <f>G30-H30</f>
        <v>92.564362499999987</v>
      </c>
    </row>
    <row r="31" spans="2:10" x14ac:dyDescent="0.3">
      <c r="B31" s="52" t="s">
        <v>427</v>
      </c>
      <c r="C31" s="45">
        <v>396</v>
      </c>
      <c r="D31" s="44">
        <v>75</v>
      </c>
      <c r="E31" s="43">
        <f>C31-(C31*D31/100)</f>
        <v>99</v>
      </c>
      <c r="F31" s="40">
        <v>18</v>
      </c>
      <c r="G31" s="55">
        <f>E31+(E31*F31/100)</f>
        <v>116.82</v>
      </c>
      <c r="H31" s="41">
        <f>G31*2.25/100</f>
        <v>2.6284499999999995</v>
      </c>
      <c r="I31" s="40">
        <f>G31-H31</f>
        <v>114.19154999999999</v>
      </c>
    </row>
    <row r="32" spans="2:10" x14ac:dyDescent="0.3">
      <c r="B32" s="52" t="s">
        <v>426</v>
      </c>
      <c r="C32" s="45">
        <v>482</v>
      </c>
      <c r="D32" s="44">
        <v>75</v>
      </c>
      <c r="E32" s="43">
        <f>C32-(C32*D32/100)</f>
        <v>120.5</v>
      </c>
      <c r="F32" s="40">
        <v>18</v>
      </c>
      <c r="G32" s="55">
        <f>E32+(E32*F32/100)</f>
        <v>142.19</v>
      </c>
      <c r="H32" s="41">
        <f>G32*2.25/100</f>
        <v>3.1992750000000001</v>
      </c>
      <c r="I32" s="40">
        <f>G32-H32</f>
        <v>138.990725</v>
      </c>
    </row>
    <row r="33" spans="2:9" x14ac:dyDescent="0.3">
      <c r="B33" s="52" t="s">
        <v>425</v>
      </c>
      <c r="C33" s="45">
        <v>573</v>
      </c>
      <c r="D33" s="44">
        <v>75</v>
      </c>
      <c r="E33" s="43">
        <f>C33-(C33*D33/100)</f>
        <v>143.25</v>
      </c>
      <c r="F33" s="40">
        <v>18</v>
      </c>
      <c r="G33" s="55">
        <f>E33+(E33*F33/100)</f>
        <v>169.035</v>
      </c>
      <c r="H33" s="41">
        <f>G33*2.25/100</f>
        <v>3.8032875000000002</v>
      </c>
      <c r="I33" s="40">
        <f>G33-H33</f>
        <v>165.23171249999999</v>
      </c>
    </row>
    <row r="34" spans="2:9" x14ac:dyDescent="0.3">
      <c r="B34" s="52" t="s">
        <v>424</v>
      </c>
      <c r="C34" s="45">
        <v>631</v>
      </c>
      <c r="D34" s="44">
        <v>75</v>
      </c>
      <c r="E34" s="43">
        <f>C34-(C34*D34/100)</f>
        <v>157.75</v>
      </c>
      <c r="F34" s="40">
        <v>18</v>
      </c>
      <c r="G34" s="55">
        <f>E34+(E34*F34/100)</f>
        <v>186.14500000000001</v>
      </c>
      <c r="H34" s="41">
        <f>G34*2.25/100</f>
        <v>4.1882625000000004</v>
      </c>
      <c r="I34" s="40">
        <f>G34-H34</f>
        <v>181.9567375</v>
      </c>
    </row>
    <row r="35" spans="2:9" x14ac:dyDescent="0.3">
      <c r="B35" s="52" t="s">
        <v>423</v>
      </c>
      <c r="C35" s="45">
        <v>807</v>
      </c>
      <c r="D35" s="44">
        <v>75</v>
      </c>
      <c r="E35" s="43">
        <f>C35-(C35*D35/100)</f>
        <v>201.75</v>
      </c>
      <c r="F35" s="40">
        <v>18</v>
      </c>
      <c r="G35" s="55">
        <f>E35+(E35*F35/100)</f>
        <v>238.065</v>
      </c>
      <c r="H35" s="41">
        <f>G35*2.25/100</f>
        <v>5.3564625000000001</v>
      </c>
      <c r="I35" s="40">
        <f>G35-H35</f>
        <v>232.70853750000001</v>
      </c>
    </row>
    <row r="36" spans="2:9" hidden="1" x14ac:dyDescent="0.3">
      <c r="B36" s="52" t="s">
        <v>422</v>
      </c>
      <c r="C36" s="45">
        <v>919</v>
      </c>
      <c r="D36" s="44">
        <v>75</v>
      </c>
      <c r="E36" s="43"/>
      <c r="F36" s="40"/>
      <c r="G36" s="55"/>
      <c r="H36" s="41"/>
      <c r="I36" s="40"/>
    </row>
    <row r="37" spans="2:9" x14ac:dyDescent="0.3">
      <c r="B37" s="52" t="s">
        <v>421</v>
      </c>
      <c r="C37" s="45">
        <v>919</v>
      </c>
      <c r="D37" s="44">
        <v>75</v>
      </c>
      <c r="E37" s="43">
        <f>C37-(C37*D37/100)</f>
        <v>229.75</v>
      </c>
      <c r="F37" s="40">
        <v>18</v>
      </c>
      <c r="G37" s="55">
        <f>E37+(E37*F37/100)</f>
        <v>271.10500000000002</v>
      </c>
      <c r="H37" s="41">
        <f>G37*2.25/100</f>
        <v>6.0998625000000004</v>
      </c>
      <c r="I37" s="40">
        <f>G37-H37</f>
        <v>265.00513750000005</v>
      </c>
    </row>
    <row r="38" spans="2:9" x14ac:dyDescent="0.3">
      <c r="B38" s="52" t="s">
        <v>420</v>
      </c>
      <c r="C38" s="45">
        <v>1021</v>
      </c>
      <c r="D38" s="44">
        <v>75</v>
      </c>
      <c r="E38" s="43">
        <f>C38-(C38*D38/100)</f>
        <v>255.25</v>
      </c>
      <c r="F38" s="40">
        <v>18</v>
      </c>
      <c r="G38" s="55">
        <f>E38+(E38*F38/100)</f>
        <v>301.19499999999999</v>
      </c>
      <c r="H38" s="41">
        <f>G38*2.25/100</f>
        <v>6.7768875</v>
      </c>
      <c r="I38" s="40">
        <f>G38-H38</f>
        <v>294.41811250000001</v>
      </c>
    </row>
    <row r="39" spans="2:9" x14ac:dyDescent="0.3">
      <c r="B39" s="52" t="s">
        <v>419</v>
      </c>
      <c r="C39" s="45">
        <v>1169</v>
      </c>
      <c r="D39" s="44">
        <v>75</v>
      </c>
      <c r="E39" s="43">
        <f>C39-(C39*D39/100)</f>
        <v>292.25</v>
      </c>
      <c r="F39" s="40">
        <v>18</v>
      </c>
      <c r="G39" s="55">
        <f>E39+(E39*F39/100)</f>
        <v>344.85500000000002</v>
      </c>
      <c r="H39" s="41">
        <f>G39*2.25/100</f>
        <v>7.7592375000000002</v>
      </c>
      <c r="I39" s="40">
        <f>G39-H39</f>
        <v>337.09576250000003</v>
      </c>
    </row>
    <row r="40" spans="2:9" x14ac:dyDescent="0.3">
      <c r="B40" s="52" t="s">
        <v>418</v>
      </c>
      <c r="C40" s="45">
        <v>1307</v>
      </c>
      <c r="D40" s="44">
        <v>75</v>
      </c>
      <c r="E40" s="43">
        <f>C40-(C40*D40/100)</f>
        <v>326.75</v>
      </c>
      <c r="F40" s="40">
        <v>18</v>
      </c>
      <c r="G40" s="55">
        <f>E40+(E40*F40/100)</f>
        <v>385.565</v>
      </c>
      <c r="H40" s="41">
        <f>G40*2.25/100</f>
        <v>8.6752125000000007</v>
      </c>
      <c r="I40" s="40">
        <f>G40-H40</f>
        <v>376.88978750000001</v>
      </c>
    </row>
    <row r="41" spans="2:9" x14ac:dyDescent="0.3">
      <c r="B41" s="52" t="s">
        <v>417</v>
      </c>
      <c r="C41" s="45">
        <v>1550</v>
      </c>
      <c r="D41" s="44">
        <v>75</v>
      </c>
      <c r="E41" s="43">
        <f>C41-(C41*D41/100)</f>
        <v>387.5</v>
      </c>
      <c r="F41" s="40">
        <v>18</v>
      </c>
      <c r="G41" s="55">
        <f>E41+(E41*F41/100)</f>
        <v>457.25</v>
      </c>
      <c r="H41" s="41">
        <f>G41*2.25/100</f>
        <v>10.288125000000001</v>
      </c>
      <c r="I41" s="40">
        <f>G41-H41</f>
        <v>446.96187500000002</v>
      </c>
    </row>
    <row r="42" spans="2:9" x14ac:dyDescent="0.3">
      <c r="B42" s="46" t="s">
        <v>416</v>
      </c>
      <c r="C42" s="45">
        <v>1939</v>
      </c>
      <c r="D42" s="44">
        <v>75</v>
      </c>
      <c r="E42" s="43">
        <f>C42-(C42*D42/100)</f>
        <v>484.75</v>
      </c>
      <c r="F42" s="40">
        <v>18</v>
      </c>
      <c r="G42" s="55">
        <f>E42+(E42*F42/100)</f>
        <v>572.005</v>
      </c>
      <c r="H42" s="41">
        <f>G42*2.25/100</f>
        <v>12.870112499999999</v>
      </c>
      <c r="I42" s="40">
        <f>G42-H42</f>
        <v>559.13488749999999</v>
      </c>
    </row>
    <row r="43" spans="2:9" x14ac:dyDescent="0.3">
      <c r="B43" s="46" t="s">
        <v>415</v>
      </c>
      <c r="C43" s="45">
        <v>2156</v>
      </c>
      <c r="D43" s="44">
        <v>75</v>
      </c>
      <c r="E43" s="43">
        <f>C43-(C43*D43/100)</f>
        <v>539</v>
      </c>
      <c r="F43" s="40">
        <v>18</v>
      </c>
      <c r="G43" s="55">
        <f>E43+(E43*F43/100)</f>
        <v>636.02</v>
      </c>
      <c r="H43" s="41">
        <f>G43*2.25/100</f>
        <v>14.310450000000001</v>
      </c>
      <c r="I43" s="40">
        <f>G43-H43</f>
        <v>621.70955000000004</v>
      </c>
    </row>
    <row r="44" spans="2:9" x14ac:dyDescent="0.3">
      <c r="B44" s="46" t="s">
        <v>414</v>
      </c>
      <c r="C44" s="45">
        <v>2405</v>
      </c>
      <c r="D44" s="44">
        <v>75</v>
      </c>
      <c r="E44" s="43">
        <f>C44-(C44*D44/100)</f>
        <v>601.25</v>
      </c>
      <c r="F44" s="40">
        <v>18</v>
      </c>
      <c r="G44" s="55">
        <f>E44+(E44*F44/100)</f>
        <v>709.47500000000002</v>
      </c>
      <c r="H44" s="41">
        <f>G44*2.25/100</f>
        <v>15.963187500000002</v>
      </c>
      <c r="I44" s="40">
        <f>G44-H44</f>
        <v>693.51181250000002</v>
      </c>
    </row>
    <row r="45" spans="2:9" x14ac:dyDescent="0.3">
      <c r="B45" s="46" t="s">
        <v>413</v>
      </c>
      <c r="C45" s="45">
        <v>3120</v>
      </c>
      <c r="D45" s="44">
        <v>75</v>
      </c>
      <c r="E45" s="43">
        <f>C45-(C45*D45/100)</f>
        <v>780</v>
      </c>
      <c r="F45" s="40">
        <v>18</v>
      </c>
      <c r="G45" s="55">
        <f>E45+(E45*F45/100)</f>
        <v>920.4</v>
      </c>
      <c r="H45" s="41">
        <f>G45*2.25/100</f>
        <v>20.709</v>
      </c>
      <c r="I45" s="40">
        <f>G45-H45</f>
        <v>899.69100000000003</v>
      </c>
    </row>
    <row r="46" spans="2:9" x14ac:dyDescent="0.3">
      <c r="B46" s="46" t="s">
        <v>412</v>
      </c>
      <c r="C46" s="45">
        <v>3644</v>
      </c>
      <c r="D46" s="44">
        <v>75</v>
      </c>
      <c r="E46" s="43">
        <f>C46-(C46*D46/100)</f>
        <v>911</v>
      </c>
      <c r="F46" s="40">
        <v>18</v>
      </c>
      <c r="G46" s="55">
        <f>E46+(E46*F46/100)</f>
        <v>1074.98</v>
      </c>
      <c r="H46" s="41">
        <f>G46*2.25/100</f>
        <v>24.187049999999999</v>
      </c>
      <c r="I46" s="40">
        <f>G46-H46</f>
        <v>1050.79295</v>
      </c>
    </row>
    <row r="47" spans="2:9" hidden="1" x14ac:dyDescent="0.3">
      <c r="B47" s="46" t="s">
        <v>411</v>
      </c>
      <c r="C47" s="45"/>
      <c r="D47" s="44">
        <v>75</v>
      </c>
      <c r="E47" s="43"/>
      <c r="F47" s="40"/>
      <c r="G47" s="55"/>
      <c r="H47" s="41"/>
      <c r="I47" s="40"/>
    </row>
    <row r="48" spans="2:9" x14ac:dyDescent="0.3">
      <c r="B48" s="46" t="s">
        <v>410</v>
      </c>
      <c r="C48" s="45">
        <v>5364</v>
      </c>
      <c r="D48" s="44">
        <v>75</v>
      </c>
      <c r="E48" s="43">
        <f>C48-(C48*D48/100)</f>
        <v>1341</v>
      </c>
      <c r="F48" s="40">
        <v>18</v>
      </c>
      <c r="G48" s="55">
        <f>E48+(E48*F48/100)</f>
        <v>1582.38</v>
      </c>
      <c r="H48" s="41">
        <f>G48*2.25/100</f>
        <v>35.603550000000006</v>
      </c>
      <c r="I48" s="40">
        <f>G48-H48</f>
        <v>1546.7764500000001</v>
      </c>
    </row>
    <row r="49" spans="2:9" x14ac:dyDescent="0.3">
      <c r="B49" s="59"/>
      <c r="C49" s="53"/>
      <c r="D49" s="5"/>
      <c r="E49" s="5"/>
      <c r="F49" s="5"/>
      <c r="G49" s="53"/>
    </row>
    <row r="50" spans="2:9" x14ac:dyDescent="0.3">
      <c r="B50" s="59"/>
      <c r="C50" s="53"/>
      <c r="D50" s="5"/>
      <c r="E50" s="5"/>
      <c r="F50" s="5"/>
      <c r="G50" s="53"/>
    </row>
    <row r="51" spans="2:9" x14ac:dyDescent="0.3">
      <c r="B51" s="59"/>
      <c r="C51" s="53"/>
      <c r="D51" s="5"/>
      <c r="E51" s="5"/>
      <c r="F51" s="5"/>
      <c r="G51" s="53"/>
    </row>
    <row r="52" spans="2:9" ht="46.8" x14ac:dyDescent="0.3">
      <c r="B52" s="57" t="s">
        <v>409</v>
      </c>
      <c r="C52" s="45" t="s">
        <v>8</v>
      </c>
      <c r="D52" s="35" t="s">
        <v>265</v>
      </c>
      <c r="E52" s="49" t="s">
        <v>88</v>
      </c>
      <c r="F52" s="33" t="s">
        <v>408</v>
      </c>
      <c r="G52" s="47" t="s">
        <v>263</v>
      </c>
      <c r="H52" s="47" t="s">
        <v>262</v>
      </c>
      <c r="I52" s="47" t="s">
        <v>261</v>
      </c>
    </row>
    <row r="53" spans="2:9" x14ac:dyDescent="0.3">
      <c r="B53" s="52" t="s">
        <v>407</v>
      </c>
      <c r="C53" s="45">
        <v>946</v>
      </c>
      <c r="D53" s="44">
        <v>75</v>
      </c>
      <c r="E53" s="43">
        <f>C53-(C53*D53/100)</f>
        <v>236.5</v>
      </c>
      <c r="F53" s="40">
        <v>18</v>
      </c>
      <c r="G53" s="55">
        <f>E53+(E53*F53/100)</f>
        <v>279.07</v>
      </c>
      <c r="H53" s="41">
        <f>G53*2.25/100</f>
        <v>6.2790750000000006</v>
      </c>
      <c r="I53" s="40">
        <f>G53-H53</f>
        <v>272.79092500000002</v>
      </c>
    </row>
    <row r="54" spans="2:9" x14ac:dyDescent="0.3">
      <c r="B54" s="52" t="s">
        <v>406</v>
      </c>
      <c r="C54" s="45">
        <v>1431</v>
      </c>
      <c r="D54" s="44">
        <v>75</v>
      </c>
      <c r="E54" s="43">
        <f>C54-(C54*D54/100)</f>
        <v>357.75</v>
      </c>
      <c r="F54" s="40">
        <v>18</v>
      </c>
      <c r="G54" s="55">
        <f>E54+(E54*F54/100)</f>
        <v>422.14499999999998</v>
      </c>
      <c r="H54" s="41">
        <f>G54*2.25/100</f>
        <v>9.4982624999999992</v>
      </c>
      <c r="I54" s="40">
        <f>G54-H54</f>
        <v>412.64673749999997</v>
      </c>
    </row>
    <row r="55" spans="2:9" x14ac:dyDescent="0.3">
      <c r="B55" s="52" t="s">
        <v>405</v>
      </c>
      <c r="C55" s="45">
        <v>1944</v>
      </c>
      <c r="D55" s="44">
        <v>75</v>
      </c>
      <c r="E55" s="43">
        <f>C55-(C55*D55/100)</f>
        <v>486</v>
      </c>
      <c r="F55" s="40">
        <v>18</v>
      </c>
      <c r="G55" s="55">
        <f>E55+(E55*F55/100)</f>
        <v>573.48</v>
      </c>
      <c r="H55" s="41">
        <f>G55*2.25/100</f>
        <v>12.9033</v>
      </c>
      <c r="I55" s="40">
        <f>G55-H55</f>
        <v>560.57670000000007</v>
      </c>
    </row>
    <row r="56" spans="2:9" x14ac:dyDescent="0.3">
      <c r="B56" s="52" t="s">
        <v>404</v>
      </c>
      <c r="C56" s="45">
        <v>2627</v>
      </c>
      <c r="D56" s="44">
        <v>75</v>
      </c>
      <c r="E56" s="43">
        <f>C56-(C56*D56/100)</f>
        <v>656.75</v>
      </c>
      <c r="F56" s="40">
        <v>18</v>
      </c>
      <c r="G56" s="55">
        <f>E56+(E56*F56/100)</f>
        <v>774.96500000000003</v>
      </c>
      <c r="H56" s="41">
        <f>G56*2.25/100</f>
        <v>17.436712500000002</v>
      </c>
      <c r="I56" s="40">
        <f>G56-H56</f>
        <v>757.52828750000003</v>
      </c>
    </row>
    <row r="57" spans="2:9" x14ac:dyDescent="0.3">
      <c r="B57" s="52" t="s">
        <v>403</v>
      </c>
      <c r="C57" s="45">
        <v>3690</v>
      </c>
      <c r="D57" s="44">
        <v>75</v>
      </c>
      <c r="E57" s="43">
        <f>C57-(C57*D57/100)</f>
        <v>922.5</v>
      </c>
      <c r="F57" s="40">
        <v>18</v>
      </c>
      <c r="G57" s="55">
        <f>E57+(E57*F57/100)</f>
        <v>1088.55</v>
      </c>
      <c r="H57" s="41">
        <f>G57*2.25/100</f>
        <v>24.492374999999996</v>
      </c>
      <c r="I57" s="40">
        <f>G57-H57</f>
        <v>1064.0576249999999</v>
      </c>
    </row>
    <row r="58" spans="2:9" x14ac:dyDescent="0.3">
      <c r="B58" s="52" t="s">
        <v>402</v>
      </c>
      <c r="C58" s="45">
        <v>4904</v>
      </c>
      <c r="D58" s="44">
        <v>75</v>
      </c>
      <c r="E58" s="43">
        <f>C58-(C58*D58/100)</f>
        <v>1226</v>
      </c>
      <c r="F58" s="40">
        <v>18</v>
      </c>
      <c r="G58" s="55">
        <f>E58+(E58*F58/100)</f>
        <v>1446.68</v>
      </c>
      <c r="H58" s="41">
        <f>G58*2.25/100</f>
        <v>32.5503</v>
      </c>
      <c r="I58" s="40">
        <f>G58-H58</f>
        <v>1414.1297</v>
      </c>
    </row>
    <row r="59" spans="2:9" x14ac:dyDescent="0.3">
      <c r="B59" s="52" t="s">
        <v>401</v>
      </c>
      <c r="C59" s="45">
        <v>6171</v>
      </c>
      <c r="D59" s="44">
        <v>75</v>
      </c>
      <c r="E59" s="43">
        <f>C59-(C59*D59/100)</f>
        <v>1542.75</v>
      </c>
      <c r="F59" s="40">
        <v>18</v>
      </c>
      <c r="G59" s="55">
        <f>E59+(E59*F59/100)</f>
        <v>1820.4449999999999</v>
      </c>
      <c r="H59" s="41">
        <f>G59*2.25/100</f>
        <v>40.960012500000005</v>
      </c>
      <c r="I59" s="40">
        <f>G59-H59</f>
        <v>1779.4849875</v>
      </c>
    </row>
    <row r="60" spans="2:9" x14ac:dyDescent="0.3">
      <c r="B60" s="52" t="s">
        <v>400</v>
      </c>
      <c r="C60" s="45">
        <v>7676</v>
      </c>
      <c r="D60" s="44">
        <v>75</v>
      </c>
      <c r="E60" s="43">
        <f>C60-(C60*D60/100)</f>
        <v>1919</v>
      </c>
      <c r="F60" s="40">
        <v>18</v>
      </c>
      <c r="G60" s="55">
        <f>E60+(E60*F60/100)</f>
        <v>2264.42</v>
      </c>
      <c r="H60" s="41">
        <f>G60*2.25/100</f>
        <v>50.949449999999999</v>
      </c>
      <c r="I60" s="40">
        <f>G60-H60</f>
        <v>2213.47055</v>
      </c>
    </row>
    <row r="61" spans="2:9" x14ac:dyDescent="0.3">
      <c r="B61" s="52" t="s">
        <v>399</v>
      </c>
      <c r="C61" s="45">
        <v>9438</v>
      </c>
      <c r="D61" s="44">
        <v>75</v>
      </c>
      <c r="E61" s="43">
        <f>C61-(C61*D61/100)</f>
        <v>2359.5</v>
      </c>
      <c r="F61" s="40">
        <v>18</v>
      </c>
      <c r="G61" s="55">
        <f>E61+(E61*F61/100)</f>
        <v>2784.21</v>
      </c>
      <c r="H61" s="41">
        <f>G61*2.25/100</f>
        <v>62.644725000000001</v>
      </c>
      <c r="I61" s="40">
        <f>G61-H61</f>
        <v>2721.5652749999999</v>
      </c>
    </row>
    <row r="62" spans="2:9" x14ac:dyDescent="0.3">
      <c r="B62" s="52" t="s">
        <v>398</v>
      </c>
      <c r="C62" s="45">
        <v>12125</v>
      </c>
      <c r="D62" s="44">
        <v>75</v>
      </c>
      <c r="E62" s="43">
        <f>C62-(C62*D62/100)</f>
        <v>3031.25</v>
      </c>
      <c r="F62" s="40">
        <v>18</v>
      </c>
      <c r="G62" s="55">
        <f>E62+(E62*F62/100)</f>
        <v>3576.875</v>
      </c>
      <c r="H62" s="41">
        <f>G62*2.25/100</f>
        <v>80.479687499999997</v>
      </c>
      <c r="I62" s="40">
        <f>G62-H62</f>
        <v>3496.3953124999998</v>
      </c>
    </row>
    <row r="63" spans="2:9" x14ac:dyDescent="0.3">
      <c r="B63" s="52" t="s">
        <v>397</v>
      </c>
      <c r="C63" s="45">
        <v>15118</v>
      </c>
      <c r="D63" s="44">
        <v>75</v>
      </c>
      <c r="E63" s="43">
        <f>C63-(C63*D63/100)</f>
        <v>3779.5</v>
      </c>
      <c r="F63" s="40">
        <v>18</v>
      </c>
      <c r="G63" s="55">
        <f>E63+(E63*F63/100)</f>
        <v>4459.8099999999995</v>
      </c>
      <c r="H63" s="41">
        <f>G63*2.25/100</f>
        <v>100.34572499999999</v>
      </c>
      <c r="I63" s="40">
        <f>G63-H63</f>
        <v>4359.4642749999994</v>
      </c>
    </row>
    <row r="64" spans="2:9" x14ac:dyDescent="0.3">
      <c r="B64" s="52" t="s">
        <v>396</v>
      </c>
      <c r="C64" s="45">
        <v>19762</v>
      </c>
      <c r="D64" s="44">
        <v>75</v>
      </c>
      <c r="E64" s="43">
        <f>C64-(C64*D64/100)</f>
        <v>4940.5</v>
      </c>
      <c r="F64" s="40">
        <v>18</v>
      </c>
      <c r="G64" s="55">
        <f>E64+(E64*F64/100)</f>
        <v>5829.79</v>
      </c>
      <c r="H64" s="41">
        <f>G64*2.25/100</f>
        <v>131.170275</v>
      </c>
      <c r="I64" s="40">
        <f>G64-H64</f>
        <v>5698.6197249999996</v>
      </c>
    </row>
    <row r="65" spans="2:9" x14ac:dyDescent="0.3">
      <c r="B65" s="58" t="s">
        <v>395</v>
      </c>
      <c r="C65" s="45">
        <v>24983</v>
      </c>
      <c r="D65" s="44">
        <v>75</v>
      </c>
      <c r="E65" s="43">
        <f>C65-(C65*D65/100)</f>
        <v>6245.75</v>
      </c>
      <c r="F65" s="40">
        <v>18</v>
      </c>
      <c r="G65" s="55">
        <f>E65+(E65*F65/100)</f>
        <v>7369.9849999999997</v>
      </c>
      <c r="H65" s="41">
        <f>G65*2.25/100</f>
        <v>165.82466249999999</v>
      </c>
      <c r="I65" s="40">
        <f>G65-H65</f>
        <v>7204.1603374999995</v>
      </c>
    </row>
    <row r="66" spans="2:9" x14ac:dyDescent="0.3">
      <c r="B66" s="58" t="s">
        <v>394</v>
      </c>
      <c r="C66" s="45">
        <v>31476</v>
      </c>
      <c r="D66" s="44">
        <v>75</v>
      </c>
      <c r="E66" s="43">
        <f>C66-(C66*D66/100)</f>
        <v>7869</v>
      </c>
      <c r="F66" s="40">
        <v>18</v>
      </c>
      <c r="G66" s="55">
        <f>E66+(E66*F66/100)</f>
        <v>9285.42</v>
      </c>
      <c r="H66" s="41">
        <f>G66*2.25/100</f>
        <v>208.92195000000001</v>
      </c>
      <c r="I66" s="40">
        <f>G66-H66</f>
        <v>9076.4980500000001</v>
      </c>
    </row>
    <row r="67" spans="2:9" x14ac:dyDescent="0.3">
      <c r="B67" s="58" t="s">
        <v>393</v>
      </c>
      <c r="C67" s="45">
        <v>39945</v>
      </c>
      <c r="D67" s="44">
        <v>75</v>
      </c>
      <c r="E67" s="43">
        <f>C67-(C67*D67/100)</f>
        <v>9986.25</v>
      </c>
      <c r="F67" s="40">
        <v>18</v>
      </c>
      <c r="G67" s="55">
        <f>E67+(E67*F67/100)</f>
        <v>11783.775</v>
      </c>
      <c r="H67" s="41">
        <f>G67*2.25/100</f>
        <v>265.13493749999998</v>
      </c>
      <c r="I67" s="40">
        <f>G67-H67</f>
        <v>11518.640062499999</v>
      </c>
    </row>
    <row r="68" spans="2:9" x14ac:dyDescent="0.3">
      <c r="B68" s="58" t="s">
        <v>392</v>
      </c>
      <c r="C68" s="45">
        <v>49825</v>
      </c>
      <c r="D68" s="44">
        <v>75</v>
      </c>
      <c r="E68" s="43">
        <f>C68-(C68*D68/100)</f>
        <v>12456.25</v>
      </c>
      <c r="F68" s="40">
        <v>18</v>
      </c>
      <c r="G68" s="55">
        <f>E68+(E68*F68/100)</f>
        <v>14698.375</v>
      </c>
      <c r="H68" s="41">
        <f>G68*2.25/100</f>
        <v>330.7134375</v>
      </c>
      <c r="I68" s="40">
        <f>G68-H68</f>
        <v>14367.661562499999</v>
      </c>
    </row>
    <row r="69" spans="2:9" x14ac:dyDescent="0.3">
      <c r="B69" s="57"/>
      <c r="C69" s="45"/>
      <c r="D69" s="44"/>
      <c r="E69" s="49"/>
      <c r="F69" s="40"/>
      <c r="G69" s="55"/>
      <c r="H69" s="47"/>
      <c r="I69" s="47"/>
    </row>
    <row r="70" spans="2:9" x14ac:dyDescent="0.3">
      <c r="B70" s="52" t="s">
        <v>391</v>
      </c>
      <c r="C70" s="45">
        <v>495</v>
      </c>
      <c r="D70" s="44">
        <v>75</v>
      </c>
      <c r="E70" s="43">
        <f>C70-(C70*D70/100)</f>
        <v>123.75</v>
      </c>
      <c r="F70" s="40">
        <v>18</v>
      </c>
      <c r="G70" s="55">
        <f>E70+(E70*F70/100)</f>
        <v>146.02500000000001</v>
      </c>
      <c r="H70" s="41">
        <f>G70*2.25/100</f>
        <v>3.2855625000000002</v>
      </c>
      <c r="I70" s="40">
        <f>G70-H70</f>
        <v>142.73943750000001</v>
      </c>
    </row>
    <row r="71" spans="2:9" x14ac:dyDescent="0.3">
      <c r="B71" s="52" t="s">
        <v>390</v>
      </c>
      <c r="C71" s="45">
        <v>697</v>
      </c>
      <c r="D71" s="44">
        <v>75</v>
      </c>
      <c r="E71" s="43">
        <f>C71-(C71*D71/100)</f>
        <v>174.25</v>
      </c>
      <c r="F71" s="40">
        <v>18</v>
      </c>
      <c r="G71" s="55">
        <f>E71+(E71*F71/100)</f>
        <v>205.61500000000001</v>
      </c>
      <c r="H71" s="41">
        <f>G71*2.25/100</f>
        <v>4.6263375</v>
      </c>
      <c r="I71" s="40">
        <f>G71-H71</f>
        <v>200.9886625</v>
      </c>
    </row>
    <row r="72" spans="2:9" x14ac:dyDescent="0.3">
      <c r="B72" s="52" t="s">
        <v>389</v>
      </c>
      <c r="C72" s="45">
        <v>1108</v>
      </c>
      <c r="D72" s="44">
        <v>75</v>
      </c>
      <c r="E72" s="43">
        <f>C72-(C72*D72/100)</f>
        <v>277</v>
      </c>
      <c r="F72" s="40">
        <v>18</v>
      </c>
      <c r="G72" s="55">
        <f>E72+(E72*F72/100)</f>
        <v>326.86</v>
      </c>
      <c r="H72" s="41">
        <f>G72*2.25/100</f>
        <v>7.3543500000000002</v>
      </c>
      <c r="I72" s="40">
        <f>G72-H72</f>
        <v>319.50565</v>
      </c>
    </row>
    <row r="73" spans="2:9" x14ac:dyDescent="0.3">
      <c r="B73" s="52" t="s">
        <v>388</v>
      </c>
      <c r="C73" s="45">
        <v>1643</v>
      </c>
      <c r="D73" s="44">
        <v>75</v>
      </c>
      <c r="E73" s="43">
        <f>C73-(C73*D73/100)</f>
        <v>410.75</v>
      </c>
      <c r="F73" s="40">
        <v>18</v>
      </c>
      <c r="G73" s="55">
        <f>E73+(E73*F73/100)</f>
        <v>484.685</v>
      </c>
      <c r="H73" s="41">
        <f>G73*2.25/100</f>
        <v>10.905412500000001</v>
      </c>
      <c r="I73" s="40">
        <f>G73-H73</f>
        <v>473.77958749999999</v>
      </c>
    </row>
    <row r="74" spans="2:9" x14ac:dyDescent="0.3">
      <c r="B74" s="52" t="s">
        <v>328</v>
      </c>
      <c r="C74" s="45">
        <v>2761</v>
      </c>
      <c r="D74" s="44">
        <v>75</v>
      </c>
      <c r="E74" s="43">
        <f>C74-(C74*D74/100)</f>
        <v>690.25</v>
      </c>
      <c r="F74" s="40">
        <v>18</v>
      </c>
      <c r="G74" s="55">
        <f>E74+(E74*F74/100)</f>
        <v>814.495</v>
      </c>
      <c r="H74" s="41">
        <f>G74*2.25/100</f>
        <v>18.326137500000002</v>
      </c>
      <c r="I74" s="40">
        <f>G74-H74</f>
        <v>796.16886250000005</v>
      </c>
    </row>
    <row r="75" spans="2:9" x14ac:dyDescent="0.3">
      <c r="B75" s="52" t="s">
        <v>323</v>
      </c>
      <c r="C75" s="45">
        <v>3783</v>
      </c>
      <c r="D75" s="44">
        <v>75</v>
      </c>
      <c r="E75" s="43">
        <f>C75-(C75*D75/100)</f>
        <v>945.75</v>
      </c>
      <c r="F75" s="40">
        <v>18</v>
      </c>
      <c r="G75" s="55">
        <f>E75+(E75*F75/100)</f>
        <v>1115.9850000000001</v>
      </c>
      <c r="H75" s="41">
        <f>G75*2.25/100</f>
        <v>25.109662500000002</v>
      </c>
      <c r="I75" s="40">
        <f>G75-H75</f>
        <v>1090.8753375000001</v>
      </c>
    </row>
    <row r="76" spans="2:9" x14ac:dyDescent="0.3">
      <c r="B76" s="52" t="s">
        <v>318</v>
      </c>
      <c r="C76" s="45">
        <v>4941</v>
      </c>
      <c r="D76" s="44">
        <v>75</v>
      </c>
      <c r="E76" s="43">
        <f>C76-(C76*D76/100)</f>
        <v>1235.25</v>
      </c>
      <c r="F76" s="40">
        <v>18</v>
      </c>
      <c r="G76" s="55">
        <f>E76+(E76*F76/100)</f>
        <v>1457.595</v>
      </c>
      <c r="H76" s="41">
        <f>G76*2.25/100</f>
        <v>32.795887499999999</v>
      </c>
      <c r="I76" s="40">
        <f>G76-H76</f>
        <v>1424.7991125000001</v>
      </c>
    </row>
    <row r="77" spans="2:9" x14ac:dyDescent="0.3">
      <c r="B77" s="52" t="s">
        <v>313</v>
      </c>
      <c r="C77" s="45">
        <v>7340</v>
      </c>
      <c r="D77" s="44">
        <v>75</v>
      </c>
      <c r="E77" s="43">
        <f>C77-(C77*D77/100)</f>
        <v>1835</v>
      </c>
      <c r="F77" s="40">
        <v>18</v>
      </c>
      <c r="G77" s="55">
        <f>E77+(E77*F77/100)</f>
        <v>2165.3000000000002</v>
      </c>
      <c r="H77" s="41">
        <f>G77*2.25/100</f>
        <v>48.719250000000002</v>
      </c>
      <c r="I77" s="40">
        <f>G77-H77</f>
        <v>2116.5807500000001</v>
      </c>
    </row>
    <row r="78" spans="2:9" x14ac:dyDescent="0.3">
      <c r="B78" s="52" t="s">
        <v>308</v>
      </c>
      <c r="C78" s="45">
        <v>10142</v>
      </c>
      <c r="D78" s="44">
        <v>75</v>
      </c>
      <c r="E78" s="43">
        <f>C78-(C78*D78/100)</f>
        <v>2535.5</v>
      </c>
      <c r="F78" s="40">
        <v>18</v>
      </c>
      <c r="G78" s="55">
        <f>E78+(E78*F78/100)</f>
        <v>2991.89</v>
      </c>
      <c r="H78" s="41">
        <f>G78*2.25/100</f>
        <v>67.317524999999989</v>
      </c>
      <c r="I78" s="40">
        <f>G78-H78</f>
        <v>2924.5724749999999</v>
      </c>
    </row>
    <row r="79" spans="2:9" x14ac:dyDescent="0.3">
      <c r="B79" s="52" t="s">
        <v>303</v>
      </c>
      <c r="C79" s="45">
        <v>12094</v>
      </c>
      <c r="D79" s="44">
        <v>75</v>
      </c>
      <c r="E79" s="43">
        <f>C79-(C79*D79/100)</f>
        <v>3023.5</v>
      </c>
      <c r="F79" s="40">
        <v>18</v>
      </c>
      <c r="G79" s="55">
        <f>E79+(E79*F79/100)</f>
        <v>3567.73</v>
      </c>
      <c r="H79" s="41">
        <f>G79*2.25/100</f>
        <v>80.273925000000006</v>
      </c>
      <c r="I79" s="40">
        <f>G79-H79</f>
        <v>3487.4560750000001</v>
      </c>
    </row>
    <row r="80" spans="2:9" x14ac:dyDescent="0.3">
      <c r="B80" s="52" t="s">
        <v>299</v>
      </c>
      <c r="C80" s="45">
        <v>15141</v>
      </c>
      <c r="D80" s="44">
        <v>75</v>
      </c>
      <c r="E80" s="43">
        <f>C80-(C80*D80/100)</f>
        <v>3785.25</v>
      </c>
      <c r="F80" s="40">
        <v>18</v>
      </c>
      <c r="G80" s="55">
        <f>E80+(E80*F80/100)</f>
        <v>4466.5950000000003</v>
      </c>
      <c r="H80" s="41">
        <f>G80*2.25/100</f>
        <v>100.49838750000001</v>
      </c>
      <c r="I80" s="40">
        <f>G80-H80</f>
        <v>4366.0966125000004</v>
      </c>
    </row>
    <row r="81" spans="2:9" x14ac:dyDescent="0.3">
      <c r="B81" s="52" t="s">
        <v>294</v>
      </c>
      <c r="C81" s="45">
        <v>18743</v>
      </c>
      <c r="D81" s="44">
        <v>75</v>
      </c>
      <c r="E81" s="43">
        <f>C81-(C81*D81/100)</f>
        <v>4685.75</v>
      </c>
      <c r="F81" s="40">
        <v>18</v>
      </c>
      <c r="G81" s="55">
        <f>E81+(E81*F81/100)</f>
        <v>5529.1849999999995</v>
      </c>
      <c r="H81" s="41">
        <f>G81*2.25/100</f>
        <v>124.40666249999998</v>
      </c>
      <c r="I81" s="40">
        <f>G81-H81</f>
        <v>5404.7783374999999</v>
      </c>
    </row>
    <row r="82" spans="2:9" x14ac:dyDescent="0.3">
      <c r="B82" s="52" t="s">
        <v>289</v>
      </c>
      <c r="C82" s="45">
        <v>24146</v>
      </c>
      <c r="D82" s="44">
        <v>75</v>
      </c>
      <c r="E82" s="43">
        <f>C82-(C82*D82/100)</f>
        <v>6036.5</v>
      </c>
      <c r="F82" s="40">
        <v>18</v>
      </c>
      <c r="G82" s="55">
        <f>E82+(E82*F82/100)</f>
        <v>7123.07</v>
      </c>
      <c r="H82" s="41">
        <f>G82*2.25/100</f>
        <v>160.26907499999999</v>
      </c>
      <c r="I82" s="40">
        <f>G82-H82</f>
        <v>6962.8009249999996</v>
      </c>
    </row>
    <row r="83" spans="2:9" x14ac:dyDescent="0.3">
      <c r="B83" s="52" t="s">
        <v>285</v>
      </c>
      <c r="C83" s="45">
        <v>30583</v>
      </c>
      <c r="D83" s="44">
        <v>75</v>
      </c>
      <c r="E83" s="43">
        <f>C83-(C83*D83/100)</f>
        <v>7645.75</v>
      </c>
      <c r="F83" s="40">
        <v>18</v>
      </c>
      <c r="G83" s="55">
        <f>E83+(E83*F83/100)</f>
        <v>9021.9850000000006</v>
      </c>
      <c r="H83" s="41">
        <f>G83*2.25/100</f>
        <v>202.9946625</v>
      </c>
      <c r="I83" s="40">
        <f>G83-H83</f>
        <v>8818.9903375000013</v>
      </c>
    </row>
    <row r="84" spans="2:9" x14ac:dyDescent="0.3">
      <c r="B84" s="52" t="s">
        <v>280</v>
      </c>
      <c r="C84" s="45">
        <v>41603</v>
      </c>
      <c r="D84" s="44">
        <v>75</v>
      </c>
      <c r="E84" s="43">
        <f>C84-(C84*D84/100)</f>
        <v>10400.75</v>
      </c>
      <c r="F84" s="40">
        <v>18</v>
      </c>
      <c r="G84" s="55">
        <f>E84+(E84*F84/100)</f>
        <v>12272.885</v>
      </c>
      <c r="H84" s="41">
        <f>G84*2.25/100</f>
        <v>276.13991249999998</v>
      </c>
      <c r="I84" s="40">
        <f>G84-H84</f>
        <v>11996.745087499999</v>
      </c>
    </row>
    <row r="85" spans="2:9" x14ac:dyDescent="0.3">
      <c r="B85" s="52"/>
      <c r="C85" s="45"/>
      <c r="D85" s="44"/>
      <c r="E85" s="43"/>
      <c r="F85" s="40"/>
      <c r="G85" s="55"/>
      <c r="H85" s="41"/>
      <c r="I85" s="40"/>
    </row>
    <row r="86" spans="2:9" x14ac:dyDescent="0.3">
      <c r="B86" s="52" t="s">
        <v>387</v>
      </c>
      <c r="C86" s="45">
        <v>663</v>
      </c>
      <c r="D86" s="44">
        <v>75</v>
      </c>
      <c r="E86" s="43">
        <f>C86-(C86*D86/100)</f>
        <v>165.75</v>
      </c>
      <c r="F86" s="40">
        <v>18</v>
      </c>
      <c r="G86" s="55">
        <f>E86+(E86*F86/100)</f>
        <v>195.58500000000001</v>
      </c>
      <c r="H86" s="41">
        <f>G86*2.25/100</f>
        <v>4.4006625000000001</v>
      </c>
      <c r="I86" s="40">
        <f>G86-H86</f>
        <v>191.1843375</v>
      </c>
    </row>
    <row r="87" spans="2:9" x14ac:dyDescent="0.3">
      <c r="B87" s="52" t="s">
        <v>386</v>
      </c>
      <c r="C87" s="45">
        <v>957</v>
      </c>
      <c r="D87" s="44">
        <v>42.5</v>
      </c>
      <c r="E87" s="43">
        <f>C87-(C87*D87/100)</f>
        <v>550.27499999999998</v>
      </c>
      <c r="F87" s="40">
        <v>18</v>
      </c>
      <c r="G87" s="55">
        <f>E87+(E87*F87/100)</f>
        <v>649.32449999999994</v>
      </c>
      <c r="H87" s="41">
        <f>G87*2.25/100</f>
        <v>14.609801249999999</v>
      </c>
      <c r="I87" s="40">
        <f>G87-H87</f>
        <v>634.71469874999991</v>
      </c>
    </row>
    <row r="88" spans="2:9" x14ac:dyDescent="0.3">
      <c r="B88" s="52" t="s">
        <v>385</v>
      </c>
      <c r="C88" s="45">
        <v>1557</v>
      </c>
      <c r="D88" s="44">
        <v>38</v>
      </c>
      <c r="E88" s="43">
        <f>C88-(C88*D88/100)</f>
        <v>965.34</v>
      </c>
      <c r="F88" s="40">
        <v>18</v>
      </c>
      <c r="G88" s="55">
        <f>E88+(E88*F88/100)</f>
        <v>1139.1012000000001</v>
      </c>
      <c r="H88" s="41">
        <f>G88*2.25/100</f>
        <v>25.629777000000004</v>
      </c>
      <c r="I88" s="40">
        <f>G88-H88</f>
        <v>1113.471423</v>
      </c>
    </row>
    <row r="89" spans="2:9" x14ac:dyDescent="0.3">
      <c r="B89" s="52" t="s">
        <v>384</v>
      </c>
      <c r="C89" s="45">
        <v>2277</v>
      </c>
      <c r="D89" s="44">
        <v>37</v>
      </c>
      <c r="E89" s="43">
        <f>C89-(C89*D89/100)</f>
        <v>1434.51</v>
      </c>
      <c r="F89" s="40">
        <v>18</v>
      </c>
      <c r="G89" s="55">
        <f>E89+(E89*F89/100)</f>
        <v>1692.7218</v>
      </c>
      <c r="H89" s="41">
        <f>G89*2.25/100</f>
        <v>38.086240500000002</v>
      </c>
      <c r="I89" s="40">
        <f>G89-H89</f>
        <v>1654.6355595</v>
      </c>
    </row>
    <row r="90" spans="2:9" x14ac:dyDescent="0.3">
      <c r="B90" s="52" t="s">
        <v>383</v>
      </c>
      <c r="C90" s="45">
        <v>3769</v>
      </c>
      <c r="D90" s="44">
        <v>38</v>
      </c>
      <c r="E90" s="43">
        <f>C90-(C90*D90/100)</f>
        <v>2336.7799999999997</v>
      </c>
      <c r="F90" s="40">
        <v>18</v>
      </c>
      <c r="G90" s="55">
        <f>E90+(E90*F90/100)</f>
        <v>2757.4003999999995</v>
      </c>
      <c r="H90" s="41">
        <f>G90*2.25/100</f>
        <v>62.041508999999991</v>
      </c>
      <c r="I90" s="40">
        <f>G90-H90</f>
        <v>2695.3588909999994</v>
      </c>
    </row>
    <row r="91" spans="2:9" x14ac:dyDescent="0.3">
      <c r="B91" s="52" t="s">
        <v>382</v>
      </c>
      <c r="C91" s="45">
        <v>5308</v>
      </c>
      <c r="D91" s="44">
        <v>37</v>
      </c>
      <c r="E91" s="43">
        <f>C91-(C91*D91/100)</f>
        <v>3344.04</v>
      </c>
      <c r="F91" s="40">
        <v>18</v>
      </c>
      <c r="G91" s="55">
        <f>E91+(E91*F91/100)</f>
        <v>3945.9672</v>
      </c>
      <c r="H91" s="41">
        <f>G91*2.25/100</f>
        <v>88.784261999999998</v>
      </c>
      <c r="I91" s="40">
        <f>G91-H91</f>
        <v>3857.1829379999999</v>
      </c>
    </row>
    <row r="92" spans="2:9" x14ac:dyDescent="0.3">
      <c r="B92" s="52" t="s">
        <v>381</v>
      </c>
      <c r="C92" s="45">
        <v>7175</v>
      </c>
      <c r="D92" s="44">
        <v>37</v>
      </c>
      <c r="E92" s="43">
        <f>C92-(C92*D92/100)</f>
        <v>4520.25</v>
      </c>
      <c r="F92" s="40">
        <v>18</v>
      </c>
      <c r="G92" s="55">
        <f>E92+(E92*F92/100)</f>
        <v>5333.8950000000004</v>
      </c>
      <c r="H92" s="41">
        <f>G92*2.25/100</f>
        <v>120.01263750000003</v>
      </c>
      <c r="I92" s="40">
        <f>G92-H92</f>
        <v>5213.8823625000005</v>
      </c>
    </row>
    <row r="93" spans="2:9" x14ac:dyDescent="0.3">
      <c r="B93" s="52" t="s">
        <v>380</v>
      </c>
      <c r="C93" s="45">
        <v>10477</v>
      </c>
      <c r="D93" s="44">
        <v>37</v>
      </c>
      <c r="E93" s="43">
        <f>C93-(C93*D93/100)</f>
        <v>6600.51</v>
      </c>
      <c r="F93" s="40">
        <v>18</v>
      </c>
      <c r="G93" s="55">
        <f>E93+(E93*F93/100)</f>
        <v>7788.6018000000004</v>
      </c>
      <c r="H93" s="41">
        <f>G93*2.25/100</f>
        <v>175.24354050000002</v>
      </c>
      <c r="I93" s="40">
        <f>G93-H93</f>
        <v>7613.3582595000007</v>
      </c>
    </row>
    <row r="94" spans="2:9" x14ac:dyDescent="0.3">
      <c r="B94" s="52" t="s">
        <v>379</v>
      </c>
      <c r="C94" s="45">
        <v>14527</v>
      </c>
      <c r="D94" s="44">
        <v>37</v>
      </c>
      <c r="E94" s="43">
        <f>C94-(C94*D94/100)</f>
        <v>9152.01</v>
      </c>
      <c r="F94" s="40">
        <v>18</v>
      </c>
      <c r="G94" s="55">
        <f>E94+(E94*F94/100)</f>
        <v>10799.371800000001</v>
      </c>
      <c r="H94" s="41">
        <f>G94*2.25/100</f>
        <v>242.98586549999999</v>
      </c>
      <c r="I94" s="40">
        <f>G94-H94</f>
        <v>10556.3859345</v>
      </c>
    </row>
    <row r="95" spans="2:9" x14ac:dyDescent="0.3">
      <c r="B95" s="52" t="s">
        <v>378</v>
      </c>
      <c r="C95" s="45">
        <v>17813</v>
      </c>
      <c r="D95" s="44">
        <v>37</v>
      </c>
      <c r="E95" s="43">
        <f>C95-(C95*D95/100)</f>
        <v>11222.189999999999</v>
      </c>
      <c r="F95" s="40">
        <v>18</v>
      </c>
      <c r="G95" s="55">
        <f>E95+(E95*F95/100)</f>
        <v>13242.184199999998</v>
      </c>
      <c r="H95" s="41">
        <f>G95*2.25/100</f>
        <v>297.94914449999999</v>
      </c>
      <c r="I95" s="40">
        <f>G95-H95</f>
        <v>12944.235055499998</v>
      </c>
    </row>
    <row r="96" spans="2:9" x14ac:dyDescent="0.3">
      <c r="B96" s="52" t="s">
        <v>377</v>
      </c>
      <c r="C96" s="45">
        <v>22654</v>
      </c>
      <c r="D96" s="44">
        <v>37</v>
      </c>
      <c r="E96" s="43">
        <f>C96-(C96*D96/100)</f>
        <v>14272.02</v>
      </c>
      <c r="F96" s="40">
        <v>18</v>
      </c>
      <c r="G96" s="55">
        <f>E96+(E96*F96/100)</f>
        <v>16840.9836</v>
      </c>
      <c r="H96" s="41">
        <f>G96*2.25/100</f>
        <v>378.92213100000004</v>
      </c>
      <c r="I96" s="40">
        <f>G96-H96</f>
        <v>16462.061469</v>
      </c>
    </row>
    <row r="97" spans="2:9" x14ac:dyDescent="0.3">
      <c r="B97" s="52" t="s">
        <v>376</v>
      </c>
      <c r="C97" s="45">
        <v>28796</v>
      </c>
      <c r="D97" s="44">
        <v>37</v>
      </c>
      <c r="E97" s="43">
        <f>C97-(C97*D97/100)</f>
        <v>18141.48</v>
      </c>
      <c r="F97" s="40">
        <v>18</v>
      </c>
      <c r="G97" s="55">
        <f>E97+(E97*F97/100)</f>
        <v>21406.946400000001</v>
      </c>
      <c r="H97" s="41">
        <f>G97*2.25/100</f>
        <v>481.65629400000006</v>
      </c>
      <c r="I97" s="40">
        <f>G97-H97</f>
        <v>20925.290106</v>
      </c>
    </row>
    <row r="98" spans="2:9" x14ac:dyDescent="0.3">
      <c r="B98" s="52" t="s">
        <v>375</v>
      </c>
      <c r="C98" s="45">
        <v>37405</v>
      </c>
      <c r="D98" s="44">
        <v>37</v>
      </c>
      <c r="E98" s="43">
        <f>C98-(C98*D98/100)</f>
        <v>23565.15</v>
      </c>
      <c r="F98" s="40">
        <v>18</v>
      </c>
      <c r="G98" s="55">
        <f>E98+(E98*F98/100)</f>
        <v>27806.877</v>
      </c>
      <c r="H98" s="41">
        <f>G98*2.25/100</f>
        <v>625.65473250000002</v>
      </c>
      <c r="I98" s="40">
        <f>G98-H98</f>
        <v>27181.222267500001</v>
      </c>
    </row>
    <row r="99" spans="2:9" x14ac:dyDescent="0.3">
      <c r="B99" s="52" t="s">
        <v>374</v>
      </c>
      <c r="C99" s="45">
        <v>47144</v>
      </c>
      <c r="D99" s="44">
        <v>37</v>
      </c>
      <c r="E99" s="43">
        <f>C99-(C99*D99/100)</f>
        <v>29700.720000000001</v>
      </c>
      <c r="F99" s="40">
        <v>18</v>
      </c>
      <c r="G99" s="55">
        <f>E99+(E99*F99/100)</f>
        <v>35046.849600000001</v>
      </c>
      <c r="H99" s="41">
        <f>G99*2.25/100</f>
        <v>788.55411600000002</v>
      </c>
      <c r="I99" s="40">
        <f>G99-H99</f>
        <v>34258.295484000002</v>
      </c>
    </row>
    <row r="100" spans="2:9" x14ac:dyDescent="0.3">
      <c r="B100" s="52" t="s">
        <v>373</v>
      </c>
      <c r="C100" s="45">
        <v>60552</v>
      </c>
      <c r="D100" s="44">
        <v>37</v>
      </c>
      <c r="E100" s="43">
        <f>C100-(C100*D100/100)</f>
        <v>38147.759999999995</v>
      </c>
      <c r="F100" s="40">
        <v>18</v>
      </c>
      <c r="G100" s="55">
        <f>E100+(E100*F100/100)</f>
        <v>45014.356799999994</v>
      </c>
      <c r="H100" s="41">
        <f>G100*2.25/100</f>
        <v>1012.8230279999999</v>
      </c>
      <c r="I100" s="40">
        <f>G100-H100</f>
        <v>44001.533771999995</v>
      </c>
    </row>
    <row r="101" spans="2:9" x14ac:dyDescent="0.3">
      <c r="B101" s="52"/>
      <c r="C101" s="45"/>
      <c r="D101" s="44"/>
      <c r="E101" s="43"/>
      <c r="F101" s="40"/>
      <c r="G101" s="55"/>
      <c r="H101" s="41"/>
      <c r="I101" s="40"/>
    </row>
    <row r="102" spans="2:9" x14ac:dyDescent="0.3">
      <c r="B102" s="46" t="s">
        <v>372</v>
      </c>
      <c r="C102" s="45">
        <v>4517</v>
      </c>
      <c r="D102" s="44">
        <v>37</v>
      </c>
      <c r="E102" s="43">
        <f>C102-(C102*D102/100)</f>
        <v>2845.71</v>
      </c>
      <c r="F102" s="40">
        <v>18</v>
      </c>
      <c r="G102" s="55">
        <f>E102+(E102*F102/100)</f>
        <v>3357.9378000000002</v>
      </c>
      <c r="H102" s="41">
        <f>G102*2.25/100</f>
        <v>75.553600500000002</v>
      </c>
      <c r="I102" s="40">
        <f>G102-H102</f>
        <v>3282.3841995000002</v>
      </c>
    </row>
    <row r="103" spans="2:9" x14ac:dyDescent="0.3">
      <c r="B103" s="46" t="s">
        <v>371</v>
      </c>
      <c r="C103" s="45">
        <v>6063</v>
      </c>
      <c r="D103" s="44">
        <v>38</v>
      </c>
      <c r="E103" s="43">
        <f>C103-(C103*D103/100)</f>
        <v>3759.06</v>
      </c>
      <c r="F103" s="40">
        <v>18</v>
      </c>
      <c r="G103" s="55">
        <f>E103+(E103*F103/100)</f>
        <v>4435.6908000000003</v>
      </c>
      <c r="H103" s="41">
        <f>G103*2.25/100</f>
        <v>99.803043000000002</v>
      </c>
      <c r="I103" s="40">
        <f>G103-H103</f>
        <v>4335.8877570000004</v>
      </c>
    </row>
    <row r="104" spans="2:9" x14ac:dyDescent="0.3">
      <c r="B104" s="46" t="s">
        <v>370</v>
      </c>
      <c r="C104" s="45">
        <v>8445</v>
      </c>
      <c r="D104" s="44">
        <v>37</v>
      </c>
      <c r="E104" s="43">
        <f>C104-(C104*D104/100)</f>
        <v>5320.35</v>
      </c>
      <c r="F104" s="40">
        <v>18</v>
      </c>
      <c r="G104" s="55">
        <f>E104+(E104*F104/100)</f>
        <v>6278.0130000000008</v>
      </c>
      <c r="H104" s="41">
        <f>G104*2.25/100</f>
        <v>141.25529250000002</v>
      </c>
      <c r="I104" s="40">
        <f>G104-H104</f>
        <v>6136.7577075000008</v>
      </c>
    </row>
    <row r="105" spans="2:9" x14ac:dyDescent="0.3">
      <c r="B105" s="46" t="s">
        <v>369</v>
      </c>
      <c r="C105" s="45">
        <v>12128</v>
      </c>
      <c r="D105" s="44">
        <v>37</v>
      </c>
      <c r="E105" s="43">
        <f>C105-(C105*D105/100)</f>
        <v>7640.64</v>
      </c>
      <c r="F105" s="40">
        <v>18</v>
      </c>
      <c r="G105" s="55">
        <f>E105+(E105*F105/100)</f>
        <v>9015.9552000000003</v>
      </c>
      <c r="H105" s="41">
        <f>G105*2.25/100</f>
        <v>202.858992</v>
      </c>
      <c r="I105" s="40">
        <f>G105-H105</f>
        <v>8813.0962080000008</v>
      </c>
    </row>
    <row r="106" spans="2:9" x14ac:dyDescent="0.3">
      <c r="B106" s="46" t="s">
        <v>368</v>
      </c>
      <c r="C106" s="45">
        <v>16635</v>
      </c>
      <c r="D106" s="44">
        <v>37</v>
      </c>
      <c r="E106" s="43">
        <f>C106-(C106*D106/100)</f>
        <v>10480.049999999999</v>
      </c>
      <c r="F106" s="40">
        <v>18</v>
      </c>
      <c r="G106" s="55">
        <f>E106+(E106*F106/100)</f>
        <v>12366.458999999999</v>
      </c>
      <c r="H106" s="41">
        <f>G106*2.25/100</f>
        <v>278.24532749999997</v>
      </c>
      <c r="I106" s="40">
        <f>G106-H106</f>
        <v>12088.213672499998</v>
      </c>
    </row>
    <row r="107" spans="2:9" x14ac:dyDescent="0.3">
      <c r="B107" s="52" t="s">
        <v>367</v>
      </c>
      <c r="C107" s="45">
        <v>21878</v>
      </c>
      <c r="D107" s="44">
        <v>40</v>
      </c>
      <c r="E107" s="43">
        <f>C107-(C107*D107/100)</f>
        <v>13126.8</v>
      </c>
      <c r="F107" s="40">
        <v>18</v>
      </c>
      <c r="G107" s="55">
        <f>E107+(E107*F107/100)</f>
        <v>15489.624</v>
      </c>
      <c r="H107" s="41">
        <f>G107*2.25/100</f>
        <v>348.51654000000002</v>
      </c>
      <c r="I107" s="40">
        <f>G107-H107</f>
        <v>15141.107459999999</v>
      </c>
    </row>
    <row r="108" spans="2:9" x14ac:dyDescent="0.3">
      <c r="B108" s="52" t="s">
        <v>366</v>
      </c>
      <c r="C108" s="45">
        <v>26466</v>
      </c>
      <c r="D108" s="44">
        <v>37</v>
      </c>
      <c r="E108" s="43">
        <f>C108-(C108*D108/100)</f>
        <v>16673.580000000002</v>
      </c>
      <c r="F108" s="40">
        <v>18</v>
      </c>
      <c r="G108" s="55">
        <f>E108+(E108*F108/100)</f>
        <v>19674.824400000001</v>
      </c>
      <c r="H108" s="41">
        <f>G108*2.25/100</f>
        <v>442.68354900000008</v>
      </c>
      <c r="I108" s="40">
        <f>G108-H108</f>
        <v>19232.140851</v>
      </c>
    </row>
    <row r="109" spans="2:9" x14ac:dyDescent="0.3">
      <c r="B109" s="52" t="s">
        <v>365</v>
      </c>
      <c r="C109" s="45">
        <v>33692</v>
      </c>
      <c r="D109" s="44">
        <v>41.5</v>
      </c>
      <c r="E109" s="43">
        <f>C109-(C109*D109/100)</f>
        <v>19709.82</v>
      </c>
      <c r="F109" s="40">
        <v>18</v>
      </c>
      <c r="G109" s="55">
        <f>E109+(E109*F109/100)</f>
        <v>23257.587599999999</v>
      </c>
      <c r="H109" s="41">
        <f>G109*2.25/100</f>
        <v>523.29572099999996</v>
      </c>
      <c r="I109" s="40">
        <f>G109-H109</f>
        <v>22734.291879</v>
      </c>
    </row>
    <row r="110" spans="2:9" x14ac:dyDescent="0.3">
      <c r="B110" s="52" t="s">
        <v>364</v>
      </c>
      <c r="C110" s="45">
        <v>43488</v>
      </c>
      <c r="D110" s="44">
        <v>37</v>
      </c>
      <c r="E110" s="43">
        <f>C110-(C110*D110/100)</f>
        <v>27397.440000000002</v>
      </c>
      <c r="F110" s="40">
        <v>18</v>
      </c>
      <c r="G110" s="55">
        <f>E110+(E110*F110/100)</f>
        <v>32328.979200000002</v>
      </c>
      <c r="H110" s="41">
        <f>G110*2.25/100</f>
        <v>727.40203200000008</v>
      </c>
      <c r="I110" s="40">
        <f>G110-H110</f>
        <v>31601.577168</v>
      </c>
    </row>
    <row r="111" spans="2:9" x14ac:dyDescent="0.3">
      <c r="B111" s="52" t="s">
        <v>363</v>
      </c>
      <c r="C111" s="45">
        <v>54521</v>
      </c>
      <c r="D111" s="44">
        <v>37</v>
      </c>
      <c r="E111" s="43">
        <f>C111-(C111*D111/100)</f>
        <v>34348.229999999996</v>
      </c>
      <c r="F111" s="40">
        <v>18</v>
      </c>
      <c r="G111" s="55">
        <f>E111+(E111*F111/100)</f>
        <v>40530.911399999997</v>
      </c>
      <c r="H111" s="41">
        <f>G111*2.25/100</f>
        <v>911.94550649999985</v>
      </c>
      <c r="I111" s="40">
        <f>G111-H111</f>
        <v>39618.965893499997</v>
      </c>
    </row>
    <row r="112" spans="2:9" x14ac:dyDescent="0.3">
      <c r="B112" s="52" t="s">
        <v>362</v>
      </c>
      <c r="C112" s="45">
        <v>68909</v>
      </c>
      <c r="D112" s="44">
        <v>37</v>
      </c>
      <c r="E112" s="43">
        <f>C112-(C112*D112/100)</f>
        <v>43412.67</v>
      </c>
      <c r="F112" s="40">
        <v>18</v>
      </c>
      <c r="G112" s="55">
        <f>E112+(E112*F112/100)</f>
        <v>51226.950599999996</v>
      </c>
      <c r="H112" s="41">
        <f>G112*2.25/100</f>
        <v>1152.6063884999999</v>
      </c>
      <c r="I112" s="40">
        <f>G112-H112</f>
        <v>50074.3442115</v>
      </c>
    </row>
    <row r="113" spans="2:9" x14ac:dyDescent="0.3">
      <c r="B113" s="46"/>
      <c r="C113" s="56"/>
      <c r="D113" s="44"/>
      <c r="E113" s="43"/>
      <c r="F113" s="40"/>
      <c r="G113" s="55"/>
      <c r="H113" s="41"/>
      <c r="I113" s="40"/>
    </row>
    <row r="114" spans="2:9" x14ac:dyDescent="0.3">
      <c r="B114" s="46" t="s">
        <v>361</v>
      </c>
      <c r="C114" s="45">
        <v>850</v>
      </c>
      <c r="D114" s="44">
        <v>44</v>
      </c>
      <c r="E114" s="43">
        <f>C114-(C114*D114/100)</f>
        <v>476</v>
      </c>
      <c r="F114" s="40">
        <v>18</v>
      </c>
      <c r="G114" s="55">
        <f>E114+(E114*F114/100)</f>
        <v>561.68000000000006</v>
      </c>
      <c r="H114" s="41">
        <f>G114*2.25/100</f>
        <v>12.637800000000002</v>
      </c>
      <c r="I114" s="40">
        <f>G114-H114</f>
        <v>549.04220000000009</v>
      </c>
    </row>
    <row r="115" spans="2:9" x14ac:dyDescent="0.3">
      <c r="B115" s="46" t="s">
        <v>360</v>
      </c>
      <c r="C115" s="45">
        <v>1251</v>
      </c>
      <c r="D115" s="44">
        <v>42</v>
      </c>
      <c r="E115" s="43">
        <f>C115-(C115*D115/100)</f>
        <v>725.58</v>
      </c>
      <c r="F115" s="40">
        <v>18</v>
      </c>
      <c r="G115" s="55">
        <f>E115+(E115*F115/100)</f>
        <v>856.1844000000001</v>
      </c>
      <c r="H115" s="41">
        <f>G115*2.25/100</f>
        <v>19.264149000000003</v>
      </c>
      <c r="I115" s="40">
        <f>G115-H115</f>
        <v>836.92025100000012</v>
      </c>
    </row>
    <row r="116" spans="2:9" x14ac:dyDescent="0.3">
      <c r="B116" s="46" t="s">
        <v>359</v>
      </c>
      <c r="C116" s="45">
        <v>2033</v>
      </c>
      <c r="D116" s="44">
        <v>44</v>
      </c>
      <c r="E116" s="43">
        <f>C116-(C116*D116/100)</f>
        <v>1138.48</v>
      </c>
      <c r="F116" s="40">
        <v>18</v>
      </c>
      <c r="G116" s="55">
        <f>E116+(E116*F116/100)</f>
        <v>1343.4064000000001</v>
      </c>
      <c r="H116" s="41">
        <f>G116*2.25/100</f>
        <v>30.226644</v>
      </c>
      <c r="I116" s="40">
        <f>G116-H116</f>
        <v>1313.179756</v>
      </c>
    </row>
    <row r="117" spans="2:9" x14ac:dyDescent="0.3">
      <c r="B117" s="46" t="s">
        <v>358</v>
      </c>
      <c r="C117" s="45">
        <v>3007</v>
      </c>
      <c r="D117" s="44">
        <v>44</v>
      </c>
      <c r="E117" s="43">
        <f>C117-(C117*D117/100)</f>
        <v>1683.92</v>
      </c>
      <c r="F117" s="40">
        <v>18</v>
      </c>
      <c r="G117" s="55">
        <f>E117+(E117*F117/100)</f>
        <v>1987.0256000000002</v>
      </c>
      <c r="H117" s="41">
        <f>G117*2.25/100</f>
        <v>44.708075999999998</v>
      </c>
      <c r="I117" s="40">
        <f>G117-H117</f>
        <v>1942.3175240000003</v>
      </c>
    </row>
    <row r="118" spans="2:9" x14ac:dyDescent="0.3">
      <c r="B118" s="46" t="s">
        <v>357</v>
      </c>
      <c r="C118" s="45">
        <v>4968</v>
      </c>
      <c r="D118" s="44">
        <v>42</v>
      </c>
      <c r="E118" s="43">
        <f>C118-(C118*D118/100)</f>
        <v>2881.44</v>
      </c>
      <c r="F118" s="40">
        <v>18</v>
      </c>
      <c r="G118" s="55">
        <f>E118+(E118*F118/100)</f>
        <v>3400.0992000000001</v>
      </c>
      <c r="H118" s="41">
        <f>G118*2.25/100</f>
        <v>76.502232000000006</v>
      </c>
      <c r="I118" s="40">
        <f>G118-H118</f>
        <v>3323.5969680000003</v>
      </c>
    </row>
    <row r="119" spans="2:9" x14ac:dyDescent="0.3">
      <c r="B119" s="46" t="s">
        <v>356</v>
      </c>
      <c r="C119" s="45">
        <v>7048</v>
      </c>
      <c r="D119" s="44">
        <v>37</v>
      </c>
      <c r="E119" s="43">
        <f>C119-(C119*D119/100)</f>
        <v>4440.24</v>
      </c>
      <c r="F119" s="40">
        <v>18</v>
      </c>
      <c r="G119" s="55">
        <f>E119+(E119*F119/100)</f>
        <v>5239.4831999999997</v>
      </c>
      <c r="H119" s="41">
        <f>G119*2.25/100</f>
        <v>117.888372</v>
      </c>
      <c r="I119" s="40">
        <f>G119-H119</f>
        <v>5121.5948279999993</v>
      </c>
    </row>
    <row r="120" spans="2:9" x14ac:dyDescent="0.3">
      <c r="B120" s="46" t="s">
        <v>355</v>
      </c>
      <c r="C120" s="45">
        <v>9563</v>
      </c>
      <c r="D120" s="44">
        <v>37</v>
      </c>
      <c r="E120" s="43">
        <f>C120-(C120*D120/100)</f>
        <v>6024.6900000000005</v>
      </c>
      <c r="F120" s="40">
        <v>18</v>
      </c>
      <c r="G120" s="55">
        <f>E120+(E120*F120/100)</f>
        <v>7109.1342000000004</v>
      </c>
      <c r="H120" s="41">
        <f>G120*2.25/100</f>
        <v>159.95551950000001</v>
      </c>
      <c r="I120" s="40">
        <f>G120-H120</f>
        <v>6949.1786805000002</v>
      </c>
    </row>
    <row r="121" spans="2:9" x14ac:dyDescent="0.3">
      <c r="B121" s="46" t="s">
        <v>354</v>
      </c>
      <c r="C121" s="45">
        <v>13804</v>
      </c>
      <c r="D121" s="44">
        <v>37</v>
      </c>
      <c r="E121" s="43">
        <f>C121-(C121*D121/100)</f>
        <v>8696.52</v>
      </c>
      <c r="F121" s="40">
        <v>18</v>
      </c>
      <c r="G121" s="55">
        <f>E121+(E121*F121/100)</f>
        <v>10261.893600000001</v>
      </c>
      <c r="H121" s="41">
        <f>G121*2.25/100</f>
        <v>230.892606</v>
      </c>
      <c r="I121" s="40">
        <f>G121-H121</f>
        <v>10031.000994000002</v>
      </c>
    </row>
    <row r="122" spans="2:9" x14ac:dyDescent="0.3">
      <c r="B122" s="46" t="s">
        <v>353</v>
      </c>
      <c r="C122" s="45">
        <v>19175</v>
      </c>
      <c r="D122" s="44">
        <v>38</v>
      </c>
      <c r="E122" s="43">
        <f>C122-(C122*D122/100)</f>
        <v>11888.5</v>
      </c>
      <c r="F122" s="40">
        <v>18</v>
      </c>
      <c r="G122" s="55">
        <f>E122+(E122*F122/100)</f>
        <v>14028.43</v>
      </c>
      <c r="H122" s="41">
        <f>G122*2.25/100</f>
        <v>315.63967500000001</v>
      </c>
      <c r="I122" s="40">
        <f>G122-H122</f>
        <v>13712.790325</v>
      </c>
    </row>
    <row r="123" spans="2:9" x14ac:dyDescent="0.3">
      <c r="B123" s="52" t="s">
        <v>352</v>
      </c>
      <c r="C123" s="45">
        <v>23892</v>
      </c>
      <c r="D123" s="44">
        <v>37</v>
      </c>
      <c r="E123" s="43">
        <f>C123-(C123*D123/100)</f>
        <v>15051.96</v>
      </c>
      <c r="F123" s="40">
        <v>18</v>
      </c>
      <c r="G123" s="55">
        <f>E123+(E123*F123/100)</f>
        <v>17761.3128</v>
      </c>
      <c r="H123" s="41">
        <f>G123*2.25/100</f>
        <v>399.62953800000003</v>
      </c>
      <c r="I123" s="40">
        <f>G123-H123</f>
        <v>17361.683261999999</v>
      </c>
    </row>
    <row r="124" spans="2:9" x14ac:dyDescent="0.3">
      <c r="B124" s="52" t="s">
        <v>351</v>
      </c>
      <c r="C124" s="45">
        <v>30348</v>
      </c>
      <c r="D124" s="44">
        <v>37</v>
      </c>
      <c r="E124" s="43">
        <f>C124-(C124*D124/100)</f>
        <v>19119.239999999998</v>
      </c>
      <c r="F124" s="40">
        <v>18</v>
      </c>
      <c r="G124" s="55">
        <f>E124+(E124*F124/100)</f>
        <v>22560.703199999996</v>
      </c>
      <c r="H124" s="41">
        <f>G124*2.25/100</f>
        <v>507.61582199999992</v>
      </c>
      <c r="I124" s="40">
        <f>G124-H124</f>
        <v>22053.087377999997</v>
      </c>
    </row>
    <row r="125" spans="2:9" x14ac:dyDescent="0.3">
      <c r="B125" s="52" t="s">
        <v>350</v>
      </c>
      <c r="C125" s="45">
        <v>38464</v>
      </c>
      <c r="D125" s="44">
        <v>37</v>
      </c>
      <c r="E125" s="43">
        <f>C125-(C125*D125/100)</f>
        <v>24232.32</v>
      </c>
      <c r="F125" s="40">
        <v>18</v>
      </c>
      <c r="G125" s="55">
        <f>E125+(E125*F125/100)</f>
        <v>28594.137600000002</v>
      </c>
      <c r="H125" s="41">
        <f>G125*2.25/100</f>
        <v>643.36809600000004</v>
      </c>
      <c r="I125" s="40">
        <f>G125-H125</f>
        <v>27950.769504000004</v>
      </c>
    </row>
    <row r="126" spans="2:9" x14ac:dyDescent="0.3">
      <c r="B126" s="52" t="s">
        <v>349</v>
      </c>
      <c r="C126" s="45">
        <v>49619</v>
      </c>
      <c r="D126" s="44">
        <v>37</v>
      </c>
      <c r="E126" s="43">
        <f>C126-(C126*D126/100)</f>
        <v>31259.97</v>
      </c>
      <c r="F126" s="40">
        <v>18</v>
      </c>
      <c r="G126" s="55">
        <f>E126+(E126*F126/100)</f>
        <v>36886.764600000002</v>
      </c>
      <c r="H126" s="41">
        <f>G126*2.25/100</f>
        <v>829.9522035</v>
      </c>
      <c r="I126" s="40">
        <f>G126-H126</f>
        <v>36056.812396500005</v>
      </c>
    </row>
    <row r="127" spans="2:9" x14ac:dyDescent="0.3">
      <c r="B127" s="52" t="s">
        <v>348</v>
      </c>
      <c r="C127" s="45">
        <v>63095</v>
      </c>
      <c r="D127" s="44">
        <v>37</v>
      </c>
      <c r="E127" s="43">
        <f>C127-(C127*D127/100)</f>
        <v>39749.85</v>
      </c>
      <c r="F127" s="40">
        <v>18</v>
      </c>
      <c r="G127" s="55">
        <f>E127+(E127*F127/100)</f>
        <v>46904.822999999997</v>
      </c>
      <c r="H127" s="41">
        <f>G127*2.25/100</f>
        <v>1055.3585174999998</v>
      </c>
      <c r="I127" s="40">
        <f>G127-H127</f>
        <v>45849.4644825</v>
      </c>
    </row>
    <row r="128" spans="2:9" x14ac:dyDescent="0.3">
      <c r="B128" s="52" t="s">
        <v>347</v>
      </c>
      <c r="C128" s="45">
        <v>84351</v>
      </c>
      <c r="D128" s="44">
        <v>37</v>
      </c>
      <c r="E128" s="43">
        <f>C128-(C128*D128/100)</f>
        <v>53141.130000000005</v>
      </c>
      <c r="F128" s="40">
        <v>18</v>
      </c>
      <c r="G128" s="55">
        <f>E128+(E128*F128/100)</f>
        <v>62706.533400000008</v>
      </c>
      <c r="H128" s="41">
        <f>G128*2.25/100</f>
        <v>1410.8970015000002</v>
      </c>
      <c r="I128" s="40">
        <f>G128-H128</f>
        <v>61295.636398500006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7F3A-45D4-4978-BBC5-E1FC15296A86}">
  <dimension ref="B1:N107"/>
  <sheetViews>
    <sheetView topLeftCell="A91" workbookViewId="0">
      <selection activeCell="D21" sqref="D21"/>
    </sheetView>
  </sheetViews>
  <sheetFormatPr defaultColWidth="9.109375" defaultRowHeight="14.4" x14ac:dyDescent="0.3"/>
  <cols>
    <col min="1" max="1" width="9.109375" style="2"/>
    <col min="2" max="2" width="17.6640625" style="2" customWidth="1"/>
    <col min="3" max="16384" width="9.109375" style="2"/>
  </cols>
  <sheetData>
    <row r="1" spans="2:9" x14ac:dyDescent="0.3">
      <c r="B1" s="17"/>
      <c r="C1" s="53"/>
      <c r="D1" s="5"/>
      <c r="E1" s="5"/>
      <c r="F1" s="53"/>
      <c r="G1" s="53"/>
    </row>
    <row r="2" spans="2:9" x14ac:dyDescent="0.3">
      <c r="B2" s="17"/>
      <c r="C2" s="53"/>
      <c r="D2" s="5"/>
      <c r="E2" s="5"/>
      <c r="F2" s="53"/>
      <c r="G2" s="53"/>
    </row>
    <row r="3" spans="2:9" ht="62.4" x14ac:dyDescent="0.3">
      <c r="B3" s="50" t="s">
        <v>346</v>
      </c>
      <c r="C3" s="45" t="s">
        <v>8</v>
      </c>
      <c r="D3" s="35" t="s">
        <v>265</v>
      </c>
      <c r="E3" s="49" t="s">
        <v>88</v>
      </c>
      <c r="F3" s="33" t="s">
        <v>264</v>
      </c>
      <c r="G3" s="48" t="s">
        <v>263</v>
      </c>
      <c r="H3" s="47" t="s">
        <v>262</v>
      </c>
      <c r="I3" s="47" t="s">
        <v>261</v>
      </c>
    </row>
    <row r="4" spans="2:9" ht="15.6" x14ac:dyDescent="0.3">
      <c r="B4" s="52" t="s">
        <v>345</v>
      </c>
      <c r="C4" s="45">
        <v>77</v>
      </c>
      <c r="D4" s="44">
        <v>75</v>
      </c>
      <c r="E4" s="43">
        <f>C4-(C4*D4/100)</f>
        <v>19.25</v>
      </c>
      <c r="F4" s="40">
        <v>18</v>
      </c>
      <c r="G4" s="42">
        <f>E4+(E4*F4/100)</f>
        <v>22.715</v>
      </c>
      <c r="H4" s="41">
        <f>G4*2.25/100</f>
        <v>0.51108750000000003</v>
      </c>
      <c r="I4" s="40">
        <f>G4-H4</f>
        <v>22.203912500000001</v>
      </c>
    </row>
    <row r="5" spans="2:9" ht="15.6" x14ac:dyDescent="0.3">
      <c r="B5" s="52" t="s">
        <v>344</v>
      </c>
      <c r="C5" s="45">
        <v>85</v>
      </c>
      <c r="D5" s="44">
        <v>75</v>
      </c>
      <c r="E5" s="43">
        <f>C5-(C5*D5/100)</f>
        <v>21.25</v>
      </c>
      <c r="F5" s="40">
        <v>18</v>
      </c>
      <c r="G5" s="42">
        <f>E5+(E5*F5/100)</f>
        <v>25.074999999999999</v>
      </c>
      <c r="H5" s="41">
        <f>G5*2.25/100</f>
        <v>0.56418749999999995</v>
      </c>
      <c r="I5" s="40">
        <f>G5-H5</f>
        <v>24.5108125</v>
      </c>
    </row>
    <row r="6" spans="2:9" ht="15.6" x14ac:dyDescent="0.3">
      <c r="B6" s="52" t="s">
        <v>343</v>
      </c>
      <c r="C6" s="45">
        <v>98</v>
      </c>
      <c r="D6" s="44">
        <v>75</v>
      </c>
      <c r="E6" s="43">
        <f>C6-(C6*D6/100)</f>
        <v>24.5</v>
      </c>
      <c r="F6" s="40">
        <v>18</v>
      </c>
      <c r="G6" s="42">
        <f>E6+(E6*F6/100)</f>
        <v>28.91</v>
      </c>
      <c r="H6" s="41">
        <f>G6*2.25/100</f>
        <v>0.65047500000000003</v>
      </c>
      <c r="I6" s="40">
        <f>G6-H6</f>
        <v>28.259525</v>
      </c>
    </row>
    <row r="7" spans="2:9" ht="15.6" x14ac:dyDescent="0.3">
      <c r="B7" s="52"/>
      <c r="C7" s="45"/>
      <c r="D7" s="44">
        <v>75</v>
      </c>
      <c r="E7" s="43"/>
      <c r="F7" s="40"/>
      <c r="G7" s="42"/>
      <c r="H7" s="41"/>
      <c r="I7" s="40"/>
    </row>
    <row r="8" spans="2:9" ht="15.6" x14ac:dyDescent="0.3">
      <c r="B8" s="46" t="s">
        <v>342</v>
      </c>
      <c r="C8" s="45">
        <v>233</v>
      </c>
      <c r="D8" s="44">
        <v>75</v>
      </c>
      <c r="E8" s="43">
        <f>C8-(C8*D8/100)</f>
        <v>58.25</v>
      </c>
      <c r="F8" s="40">
        <v>18</v>
      </c>
      <c r="G8" s="42">
        <f>E8+(E8*F8/100)</f>
        <v>68.734999999999999</v>
      </c>
      <c r="H8" s="41">
        <f>G8*2.25/100</f>
        <v>1.5465375000000001</v>
      </c>
      <c r="I8" s="40">
        <f>G8-H8</f>
        <v>67.1884625</v>
      </c>
    </row>
    <row r="9" spans="2:9" ht="15.6" x14ac:dyDescent="0.3">
      <c r="B9" s="46" t="s">
        <v>341</v>
      </c>
      <c r="C9" s="45">
        <v>250</v>
      </c>
      <c r="D9" s="44">
        <v>75</v>
      </c>
      <c r="E9" s="43">
        <f>C9-(C9*D9/100)</f>
        <v>62.5</v>
      </c>
      <c r="F9" s="40">
        <v>18</v>
      </c>
      <c r="G9" s="42">
        <f>E9+(E9*F9/100)</f>
        <v>73.75</v>
      </c>
      <c r="H9" s="41">
        <f>G9*2.25/100</f>
        <v>1.659375</v>
      </c>
      <c r="I9" s="40">
        <f>G9-H9</f>
        <v>72.090625000000003</v>
      </c>
    </row>
    <row r="10" spans="2:9" ht="15.6" x14ac:dyDescent="0.3">
      <c r="B10" s="46" t="s">
        <v>340</v>
      </c>
      <c r="C10" s="45">
        <v>291</v>
      </c>
      <c r="D10" s="44">
        <v>75</v>
      </c>
      <c r="E10" s="43">
        <f>C10-(C10*D10/100)</f>
        <v>72.75</v>
      </c>
      <c r="F10" s="40">
        <v>18</v>
      </c>
      <c r="G10" s="42">
        <f>E10+(E10*F10/100)</f>
        <v>85.844999999999999</v>
      </c>
      <c r="H10" s="41">
        <f>G10*2.25/100</f>
        <v>1.9315125</v>
      </c>
      <c r="I10" s="40">
        <f>G10-H10</f>
        <v>83.913487500000002</v>
      </c>
    </row>
    <row r="11" spans="2:9" ht="15.6" x14ac:dyDescent="0.3">
      <c r="B11" s="46"/>
      <c r="C11" s="45"/>
      <c r="D11" s="44">
        <v>75</v>
      </c>
      <c r="E11" s="43"/>
      <c r="F11" s="40"/>
      <c r="G11" s="42"/>
      <c r="H11" s="41"/>
      <c r="I11" s="40"/>
    </row>
    <row r="12" spans="2:9" ht="15.6" x14ac:dyDescent="0.3">
      <c r="B12" s="46" t="s">
        <v>339</v>
      </c>
      <c r="C12" s="45">
        <v>283</v>
      </c>
      <c r="D12" s="44">
        <v>75</v>
      </c>
      <c r="E12" s="43">
        <f>C12-(C12*D12/100)</f>
        <v>70.75</v>
      </c>
      <c r="F12" s="40">
        <v>18</v>
      </c>
      <c r="G12" s="42">
        <f>E12+(E12*F12/100)</f>
        <v>83.484999999999999</v>
      </c>
      <c r="H12" s="41">
        <f>G12*2.25/100</f>
        <v>1.8784125</v>
      </c>
      <c r="I12" s="40">
        <f>G12-H12</f>
        <v>81.606587500000003</v>
      </c>
    </row>
    <row r="13" spans="2:9" ht="15.6" x14ac:dyDescent="0.3">
      <c r="B13" s="46" t="s">
        <v>338</v>
      </c>
      <c r="C13" s="45">
        <v>309</v>
      </c>
      <c r="D13" s="44">
        <v>75</v>
      </c>
      <c r="E13" s="43">
        <f>C13-(C13*D13/100)</f>
        <v>77.25</v>
      </c>
      <c r="F13" s="40">
        <v>18</v>
      </c>
      <c r="G13" s="42">
        <f>E13+(E13*F13/100)</f>
        <v>91.155000000000001</v>
      </c>
      <c r="H13" s="41">
        <f>G13*2.25/100</f>
        <v>2.0509874999999997</v>
      </c>
      <c r="I13" s="40">
        <f>G13-H13</f>
        <v>89.104012499999996</v>
      </c>
    </row>
    <row r="14" spans="2:9" ht="15.6" x14ac:dyDescent="0.3">
      <c r="B14" s="46" t="s">
        <v>337</v>
      </c>
      <c r="C14" s="45">
        <v>369</v>
      </c>
      <c r="D14" s="44">
        <v>75</v>
      </c>
      <c r="E14" s="43">
        <f>C14-(C14*D14/100)</f>
        <v>92.25</v>
      </c>
      <c r="F14" s="40">
        <v>18</v>
      </c>
      <c r="G14" s="42">
        <f>E14+(E14*F14/100)</f>
        <v>108.855</v>
      </c>
      <c r="H14" s="41">
        <f>G14*2.25/100</f>
        <v>2.4492375000000002</v>
      </c>
      <c r="I14" s="40">
        <f>G14-H14</f>
        <v>106.40576250000001</v>
      </c>
    </row>
    <row r="15" spans="2:9" ht="15.6" x14ac:dyDescent="0.3">
      <c r="B15" s="46"/>
      <c r="C15" s="45"/>
      <c r="D15" s="44">
        <v>75</v>
      </c>
      <c r="E15" s="43"/>
      <c r="F15" s="40"/>
      <c r="G15" s="42"/>
      <c r="H15" s="41"/>
      <c r="I15" s="40"/>
    </row>
    <row r="16" spans="2:9" ht="15.6" x14ac:dyDescent="0.3">
      <c r="B16" s="46" t="s">
        <v>336</v>
      </c>
      <c r="C16" s="45">
        <v>358</v>
      </c>
      <c r="D16" s="44">
        <v>75</v>
      </c>
      <c r="E16" s="43">
        <f>C16-(C16*D16/100)</f>
        <v>89.5</v>
      </c>
      <c r="F16" s="40">
        <v>18</v>
      </c>
      <c r="G16" s="42">
        <f>E16+(E16*F16/100)</f>
        <v>105.61</v>
      </c>
      <c r="H16" s="41">
        <f>G16*2.25/100</f>
        <v>2.3762249999999998</v>
      </c>
      <c r="I16" s="40">
        <f>G16-H16</f>
        <v>103.23377499999999</v>
      </c>
    </row>
    <row r="17" spans="2:9" ht="15.6" x14ac:dyDescent="0.3">
      <c r="B17" s="46" t="s">
        <v>335</v>
      </c>
      <c r="C17" s="45">
        <v>399</v>
      </c>
      <c r="D17" s="44">
        <v>75</v>
      </c>
      <c r="E17" s="43">
        <f>C17-(C17*D17/100)</f>
        <v>99.75</v>
      </c>
      <c r="F17" s="40">
        <v>18</v>
      </c>
      <c r="G17" s="42">
        <f>E17+(E17*F17/100)</f>
        <v>117.705</v>
      </c>
      <c r="H17" s="41">
        <f>G17*2.25/100</f>
        <v>2.6483625000000002</v>
      </c>
      <c r="I17" s="40">
        <f>G17-H17</f>
        <v>115.05663749999999</v>
      </c>
    </row>
    <row r="18" spans="2:9" ht="15.6" x14ac:dyDescent="0.3">
      <c r="B18" s="46" t="s">
        <v>334</v>
      </c>
      <c r="C18" s="45">
        <v>507</v>
      </c>
      <c r="D18" s="44">
        <v>75</v>
      </c>
      <c r="E18" s="43">
        <f>C18-(C18*D18/100)</f>
        <v>126.75</v>
      </c>
      <c r="F18" s="40">
        <v>18</v>
      </c>
      <c r="G18" s="42">
        <f>E18+(E18*F18/100)</f>
        <v>149.565</v>
      </c>
      <c r="H18" s="41">
        <f>G18*2.25/100</f>
        <v>3.3652125000000002</v>
      </c>
      <c r="I18" s="40">
        <f>G18-H18</f>
        <v>146.19978749999999</v>
      </c>
    </row>
    <row r="19" spans="2:9" ht="15.6" x14ac:dyDescent="0.3">
      <c r="B19" s="46"/>
      <c r="C19" s="45"/>
      <c r="D19" s="44">
        <v>75</v>
      </c>
      <c r="E19" s="43"/>
      <c r="F19" s="40"/>
      <c r="G19" s="42"/>
      <c r="H19" s="41"/>
      <c r="I19" s="40"/>
    </row>
    <row r="20" spans="2:9" ht="15.6" x14ac:dyDescent="0.3">
      <c r="B20" s="46" t="s">
        <v>333</v>
      </c>
      <c r="C20" s="45">
        <v>230</v>
      </c>
      <c r="D20" s="44">
        <v>75</v>
      </c>
      <c r="E20" s="43">
        <f>C20-(C20*D20/100)</f>
        <v>57.5</v>
      </c>
      <c r="F20" s="40">
        <v>18</v>
      </c>
      <c r="G20" s="42">
        <f>E20+(E20*F20/100)</f>
        <v>67.849999999999994</v>
      </c>
      <c r="H20" s="41">
        <f>G20*2.25/100</f>
        <v>1.5266249999999999</v>
      </c>
      <c r="I20" s="40">
        <f>G20-H20</f>
        <v>66.323374999999999</v>
      </c>
    </row>
    <row r="21" spans="2:9" ht="15.6" x14ac:dyDescent="0.3">
      <c r="B21" s="46" t="s">
        <v>332</v>
      </c>
      <c r="C21" s="45">
        <v>407</v>
      </c>
      <c r="D21" s="44">
        <v>75</v>
      </c>
      <c r="E21" s="43">
        <f>C21-(C21*D21/100)</f>
        <v>101.75</v>
      </c>
      <c r="F21" s="40">
        <v>18</v>
      </c>
      <c r="G21" s="42">
        <f>E21+(E21*F21/100)</f>
        <v>120.065</v>
      </c>
      <c r="H21" s="41">
        <f>G21*2.25/100</f>
        <v>2.7014624999999999</v>
      </c>
      <c r="I21" s="40">
        <f>G21-H21</f>
        <v>117.36353749999999</v>
      </c>
    </row>
    <row r="22" spans="2:9" ht="15.6" x14ac:dyDescent="0.3">
      <c r="B22" s="46" t="s">
        <v>331</v>
      </c>
      <c r="C22" s="45">
        <v>429</v>
      </c>
      <c r="D22" s="44">
        <v>75</v>
      </c>
      <c r="E22" s="43">
        <f>C22-(C22*D22/100)</f>
        <v>107.25</v>
      </c>
      <c r="F22" s="40">
        <v>18</v>
      </c>
      <c r="G22" s="42">
        <f>E22+(E22*F22/100)</f>
        <v>126.55500000000001</v>
      </c>
      <c r="H22" s="41">
        <f>G22*2.25/100</f>
        <v>2.8474875000000002</v>
      </c>
      <c r="I22" s="40">
        <f>G22-H22</f>
        <v>123.70751250000001</v>
      </c>
    </row>
    <row r="23" spans="2:9" ht="15.6" x14ac:dyDescent="0.3">
      <c r="B23" s="46" t="s">
        <v>330</v>
      </c>
      <c r="C23" s="45">
        <v>542</v>
      </c>
      <c r="D23" s="44">
        <v>75</v>
      </c>
      <c r="E23" s="43">
        <f>C23-(C23*D23/100)</f>
        <v>135.5</v>
      </c>
      <c r="F23" s="40">
        <v>18</v>
      </c>
      <c r="G23" s="42">
        <f>E23+(E23*F23/100)</f>
        <v>159.88999999999999</v>
      </c>
      <c r="H23" s="41">
        <f>G23*2.25/100</f>
        <v>3.5975249999999992</v>
      </c>
      <c r="I23" s="40">
        <f>G23-H23</f>
        <v>156.292475</v>
      </c>
    </row>
    <row r="24" spans="2:9" ht="15.6" x14ac:dyDescent="0.3">
      <c r="B24" s="46"/>
      <c r="C24" s="45"/>
      <c r="D24" s="44">
        <v>75</v>
      </c>
      <c r="E24" s="43"/>
      <c r="F24" s="40"/>
      <c r="G24" s="42"/>
      <c r="H24" s="41"/>
      <c r="I24" s="40"/>
    </row>
    <row r="25" spans="2:9" ht="15.6" x14ac:dyDescent="0.3">
      <c r="B25" s="46" t="s">
        <v>329</v>
      </c>
      <c r="C25" s="45">
        <v>303</v>
      </c>
      <c r="D25" s="44">
        <v>75</v>
      </c>
      <c r="E25" s="43">
        <f>C25-(C25*D25/100)</f>
        <v>75.75</v>
      </c>
      <c r="F25" s="40">
        <v>18</v>
      </c>
      <c r="G25" s="42">
        <f>E25+(E25*F25/100)</f>
        <v>89.385000000000005</v>
      </c>
      <c r="H25" s="41">
        <f>G25*2.25/100</f>
        <v>2.0111625000000002</v>
      </c>
      <c r="I25" s="40">
        <f>G25-H25</f>
        <v>87.373837500000008</v>
      </c>
    </row>
    <row r="26" spans="2:9" ht="15.6" x14ac:dyDescent="0.3">
      <c r="B26" s="46" t="s">
        <v>328</v>
      </c>
      <c r="C26" s="45">
        <v>435</v>
      </c>
      <c r="D26" s="44">
        <v>75</v>
      </c>
      <c r="E26" s="43">
        <f>C26-(C26*D26/100)</f>
        <v>108.75</v>
      </c>
      <c r="F26" s="40">
        <v>18</v>
      </c>
      <c r="G26" s="42">
        <f>E26+(E26*F26/100)</f>
        <v>128.32499999999999</v>
      </c>
      <c r="H26" s="41">
        <f>G26*2.25/100</f>
        <v>2.8873124999999997</v>
      </c>
      <c r="I26" s="40">
        <f>G26-H26</f>
        <v>125.4376875</v>
      </c>
    </row>
    <row r="27" spans="2:9" ht="15.6" x14ac:dyDescent="0.3">
      <c r="B27" s="46" t="s">
        <v>327</v>
      </c>
      <c r="C27" s="45">
        <v>571</v>
      </c>
      <c r="D27" s="44">
        <v>75</v>
      </c>
      <c r="E27" s="43">
        <f>C27-(C27*D27/100)</f>
        <v>142.75</v>
      </c>
      <c r="F27" s="40">
        <v>18</v>
      </c>
      <c r="G27" s="42">
        <f>E27+(E27*F27/100)</f>
        <v>168.44499999999999</v>
      </c>
      <c r="H27" s="41">
        <f>G27*2.25/100</f>
        <v>3.7900124999999996</v>
      </c>
      <c r="I27" s="40">
        <f>G27-H27</f>
        <v>164.6549875</v>
      </c>
    </row>
    <row r="28" spans="2:9" ht="15.6" x14ac:dyDescent="0.3">
      <c r="B28" s="46" t="s">
        <v>326</v>
      </c>
      <c r="C28" s="45">
        <v>663</v>
      </c>
      <c r="D28" s="44">
        <v>75</v>
      </c>
      <c r="E28" s="43">
        <f>C28-(C28*D28/100)</f>
        <v>165.75</v>
      </c>
      <c r="F28" s="40">
        <v>18</v>
      </c>
      <c r="G28" s="42">
        <f>E28+(E28*F28/100)</f>
        <v>195.58500000000001</v>
      </c>
      <c r="H28" s="41">
        <f>G28*2.25/100</f>
        <v>4.4006625000000001</v>
      </c>
      <c r="I28" s="40">
        <f>G28-H28</f>
        <v>191.1843375</v>
      </c>
    </row>
    <row r="29" spans="2:9" ht="15.6" x14ac:dyDescent="0.3">
      <c r="B29" s="46" t="s">
        <v>325</v>
      </c>
      <c r="C29" s="45">
        <v>710</v>
      </c>
      <c r="D29" s="44">
        <v>75</v>
      </c>
      <c r="E29" s="43">
        <f>C29-(C29*D29/100)</f>
        <v>177.5</v>
      </c>
      <c r="F29" s="40">
        <v>18</v>
      </c>
      <c r="G29" s="42">
        <f>E29+(E29*F29/100)</f>
        <v>209.45</v>
      </c>
      <c r="H29" s="41">
        <f>G29*2.25/100</f>
        <v>4.7126250000000001</v>
      </c>
      <c r="I29" s="40">
        <f>G29-H29</f>
        <v>204.73737499999999</v>
      </c>
    </row>
    <row r="30" spans="2:9" ht="15.6" x14ac:dyDescent="0.3">
      <c r="B30" s="46"/>
      <c r="C30" s="45"/>
      <c r="D30" s="44">
        <v>75</v>
      </c>
      <c r="E30" s="43"/>
      <c r="F30" s="40"/>
      <c r="G30" s="42"/>
      <c r="H30" s="41"/>
      <c r="I30" s="40"/>
    </row>
    <row r="31" spans="2:9" ht="15.6" x14ac:dyDescent="0.3">
      <c r="B31" s="46" t="s">
        <v>324</v>
      </c>
      <c r="C31" s="45">
        <v>367</v>
      </c>
      <c r="D31" s="44">
        <v>75</v>
      </c>
      <c r="E31" s="43">
        <f>C31-(C31*D31/100)</f>
        <v>91.75</v>
      </c>
      <c r="F31" s="40">
        <v>18</v>
      </c>
      <c r="G31" s="42">
        <f>E31+(E31*F31/100)</f>
        <v>108.265</v>
      </c>
      <c r="H31" s="41">
        <f>G31*2.25/100</f>
        <v>2.4359625</v>
      </c>
      <c r="I31" s="40">
        <f>G31-H31</f>
        <v>105.8290375</v>
      </c>
    </row>
    <row r="32" spans="2:9" ht="15.6" x14ac:dyDescent="0.3">
      <c r="B32" s="46" t="s">
        <v>323</v>
      </c>
      <c r="C32" s="45">
        <v>542</v>
      </c>
      <c r="D32" s="44">
        <v>75</v>
      </c>
      <c r="E32" s="43">
        <f>C32-(C32*D32/100)</f>
        <v>135.5</v>
      </c>
      <c r="F32" s="40">
        <v>18</v>
      </c>
      <c r="G32" s="42">
        <f>E32+(E32*F32/100)</f>
        <v>159.88999999999999</v>
      </c>
      <c r="H32" s="41">
        <f>G32*2.25/100</f>
        <v>3.5975249999999992</v>
      </c>
      <c r="I32" s="40">
        <f>G32-H32</f>
        <v>156.292475</v>
      </c>
    </row>
    <row r="33" spans="2:14" ht="15.6" x14ac:dyDescent="0.3">
      <c r="B33" s="46" t="s">
        <v>322</v>
      </c>
      <c r="C33" s="45">
        <v>726</v>
      </c>
      <c r="D33" s="44">
        <v>75</v>
      </c>
      <c r="E33" s="43">
        <f>C33-(C33*D33/100)</f>
        <v>181.5</v>
      </c>
      <c r="F33" s="40">
        <v>18</v>
      </c>
      <c r="G33" s="42">
        <f>E33+(E33*F33/100)</f>
        <v>214.17000000000002</v>
      </c>
      <c r="H33" s="41">
        <f>G33*2.25/100</f>
        <v>4.8188250000000004</v>
      </c>
      <c r="I33" s="40">
        <f>G33-H33</f>
        <v>209.35117500000001</v>
      </c>
    </row>
    <row r="34" spans="2:14" ht="15.6" x14ac:dyDescent="0.3">
      <c r="B34" s="46" t="s">
        <v>321</v>
      </c>
      <c r="C34" s="45">
        <v>806</v>
      </c>
      <c r="D34" s="44">
        <v>75</v>
      </c>
      <c r="E34" s="43">
        <f>C34-(C34*D34/100)</f>
        <v>201.5</v>
      </c>
      <c r="F34" s="40">
        <v>18</v>
      </c>
      <c r="G34" s="42">
        <f>E34+(E34*F34/100)</f>
        <v>237.77</v>
      </c>
      <c r="H34" s="41">
        <f>G34*2.25/100</f>
        <v>5.3498250000000009</v>
      </c>
      <c r="I34" s="40">
        <f>G34-H34</f>
        <v>232.420175</v>
      </c>
    </row>
    <row r="35" spans="2:14" ht="15.6" x14ac:dyDescent="0.3">
      <c r="B35" s="46" t="s">
        <v>320</v>
      </c>
      <c r="C35" s="45">
        <v>919</v>
      </c>
      <c r="D35" s="44">
        <v>75</v>
      </c>
      <c r="E35" s="43">
        <f>C35-(C35*D35/100)</f>
        <v>229.75</v>
      </c>
      <c r="F35" s="40">
        <v>18</v>
      </c>
      <c r="G35" s="42">
        <f>E35+(E35*F35/100)</f>
        <v>271.10500000000002</v>
      </c>
      <c r="H35" s="41">
        <f>G35*2.25/100</f>
        <v>6.0998625000000004</v>
      </c>
      <c r="I35" s="40">
        <f>G35-H35</f>
        <v>265.00513750000005</v>
      </c>
    </row>
    <row r="36" spans="2:14" ht="15.6" x14ac:dyDescent="0.3">
      <c r="B36" s="46"/>
      <c r="C36" s="45"/>
      <c r="D36" s="44">
        <v>75</v>
      </c>
      <c r="E36" s="43"/>
      <c r="F36" s="40"/>
      <c r="G36" s="42"/>
      <c r="H36" s="41"/>
      <c r="I36" s="40"/>
    </row>
    <row r="37" spans="2:14" ht="15.6" x14ac:dyDescent="0.3">
      <c r="B37" s="46" t="s">
        <v>319</v>
      </c>
      <c r="C37" s="45">
        <v>452</v>
      </c>
      <c r="D37" s="44">
        <v>75</v>
      </c>
      <c r="E37" s="43">
        <f>C37-(C37*D37/100)</f>
        <v>113</v>
      </c>
      <c r="F37" s="40">
        <v>18</v>
      </c>
      <c r="G37" s="42">
        <f>E37+(E37*F37/100)</f>
        <v>133.34</v>
      </c>
      <c r="H37" s="41">
        <f>G37*2.25/100</f>
        <v>3.0001499999999997</v>
      </c>
      <c r="I37" s="40">
        <f>G37-H37</f>
        <v>130.33985000000001</v>
      </c>
    </row>
    <row r="38" spans="2:14" ht="15.6" x14ac:dyDescent="0.3">
      <c r="B38" s="46" t="s">
        <v>318</v>
      </c>
      <c r="C38" s="45">
        <v>702</v>
      </c>
      <c r="D38" s="44">
        <v>75</v>
      </c>
      <c r="E38" s="43">
        <f>C38-(C38*D38/100)</f>
        <v>175.5</v>
      </c>
      <c r="F38" s="40">
        <v>18</v>
      </c>
      <c r="G38" s="42">
        <f>E38+(E38*F38/100)</f>
        <v>207.09</v>
      </c>
      <c r="H38" s="41">
        <f>G38*2.25/100</f>
        <v>4.6595249999999995</v>
      </c>
      <c r="I38" s="40">
        <f>G38-H38</f>
        <v>202.430475</v>
      </c>
    </row>
    <row r="39" spans="2:14" ht="15.6" x14ac:dyDescent="0.3">
      <c r="B39" s="46" t="s">
        <v>317</v>
      </c>
      <c r="C39" s="45">
        <v>944</v>
      </c>
      <c r="D39" s="44">
        <v>75</v>
      </c>
      <c r="E39" s="43">
        <f>C39-(C39*D39/100)</f>
        <v>236</v>
      </c>
      <c r="F39" s="40">
        <v>18</v>
      </c>
      <c r="G39" s="42">
        <f>E39+(E39*F39/100)</f>
        <v>278.48</v>
      </c>
      <c r="H39" s="41">
        <f>G39*2.25/100</f>
        <v>6.2658000000000005</v>
      </c>
      <c r="I39" s="40">
        <f>G39-H39</f>
        <v>272.21420000000001</v>
      </c>
      <c r="N39" s="2" t="s">
        <v>316</v>
      </c>
    </row>
    <row r="40" spans="2:14" ht="15.6" x14ac:dyDescent="0.3">
      <c r="B40" s="46" t="s">
        <v>315</v>
      </c>
      <c r="C40" s="45">
        <v>1092</v>
      </c>
      <c r="D40" s="44">
        <v>75</v>
      </c>
      <c r="E40" s="43">
        <f>C40-(C40*D40/100)</f>
        <v>273</v>
      </c>
      <c r="F40" s="40">
        <v>18</v>
      </c>
      <c r="G40" s="42">
        <f>E40+(E40*F40/100)</f>
        <v>322.14</v>
      </c>
      <c r="H40" s="51">
        <f>G40*2.25/100</f>
        <v>7.248149999999999</v>
      </c>
      <c r="I40" s="40">
        <f>G40-H40</f>
        <v>314.89184999999998</v>
      </c>
    </row>
    <row r="41" spans="2:14" ht="15.6" x14ac:dyDescent="0.3">
      <c r="B41" s="46" t="s">
        <v>314</v>
      </c>
      <c r="C41" s="45">
        <v>1228</v>
      </c>
      <c r="D41" s="44">
        <v>75</v>
      </c>
      <c r="E41" s="43">
        <f>C41-(C41*D41/100)</f>
        <v>307</v>
      </c>
      <c r="F41" s="40">
        <v>18</v>
      </c>
      <c r="G41" s="42">
        <f>E41+(E41*F41/100)</f>
        <v>362.26</v>
      </c>
      <c r="H41" s="41">
        <f>G41*2.25/100</f>
        <v>8.1508500000000002</v>
      </c>
      <c r="I41" s="40">
        <f>G41-H41</f>
        <v>354.10915</v>
      </c>
    </row>
    <row r="42" spans="2:14" ht="15.6" x14ac:dyDescent="0.3">
      <c r="B42" s="46"/>
      <c r="C42" s="45"/>
      <c r="D42" s="44">
        <v>75</v>
      </c>
      <c r="E42" s="43"/>
      <c r="F42" s="40"/>
      <c r="G42" s="42"/>
      <c r="H42" s="41"/>
      <c r="I42" s="40"/>
    </row>
    <row r="43" spans="2:14" ht="15.6" x14ac:dyDescent="0.3">
      <c r="B43" s="46" t="s">
        <v>260</v>
      </c>
      <c r="C43" s="45">
        <v>578</v>
      </c>
      <c r="D43" s="44">
        <v>75</v>
      </c>
      <c r="E43" s="43">
        <f>C43-(C43*D43/100)</f>
        <v>144.5</v>
      </c>
      <c r="F43" s="40">
        <v>18</v>
      </c>
      <c r="G43" s="42">
        <f>E43+(E43*F43/100)</f>
        <v>170.51</v>
      </c>
      <c r="H43" s="41">
        <f>G43*2.25/100</f>
        <v>3.8364749999999996</v>
      </c>
      <c r="I43" s="40">
        <f>G43-H43</f>
        <v>166.67352499999998</v>
      </c>
    </row>
    <row r="44" spans="2:14" ht="15.6" x14ac:dyDescent="0.3">
      <c r="B44" s="46" t="s">
        <v>313</v>
      </c>
      <c r="C44" s="45">
        <v>940</v>
      </c>
      <c r="D44" s="44">
        <v>75</v>
      </c>
      <c r="E44" s="43">
        <f>C44-(C44*D44/100)</f>
        <v>235</v>
      </c>
      <c r="F44" s="40">
        <v>18</v>
      </c>
      <c r="G44" s="42">
        <f>E44+(E44*F44/100)</f>
        <v>277.3</v>
      </c>
      <c r="H44" s="41">
        <f>G44*2.25/100</f>
        <v>6.2392500000000011</v>
      </c>
      <c r="I44" s="40">
        <f>G44-H44</f>
        <v>271.06074999999998</v>
      </c>
    </row>
    <row r="45" spans="2:14" ht="15.6" x14ac:dyDescent="0.3">
      <c r="B45" s="46" t="s">
        <v>312</v>
      </c>
      <c r="C45" s="45">
        <v>1294</v>
      </c>
      <c r="D45" s="44">
        <v>75</v>
      </c>
      <c r="E45" s="43">
        <f>C45-(C45*D45/100)</f>
        <v>323.5</v>
      </c>
      <c r="F45" s="40">
        <v>18</v>
      </c>
      <c r="G45" s="42">
        <f>E45+(E45*F45/100)</f>
        <v>381.73</v>
      </c>
      <c r="H45" s="41">
        <f>G45*2.25/100</f>
        <v>8.5889249999999997</v>
      </c>
      <c r="I45" s="40">
        <f>G45-H45</f>
        <v>373.141075</v>
      </c>
    </row>
    <row r="46" spans="2:14" ht="15.6" x14ac:dyDescent="0.3">
      <c r="B46" s="46" t="s">
        <v>311</v>
      </c>
      <c r="C46" s="45">
        <v>1472</v>
      </c>
      <c r="D46" s="44">
        <v>75</v>
      </c>
      <c r="E46" s="43">
        <f>C46-(C46*D46/100)</f>
        <v>368</v>
      </c>
      <c r="F46" s="40">
        <v>18</v>
      </c>
      <c r="G46" s="42">
        <f>E46+(E46*F46/100)</f>
        <v>434.24</v>
      </c>
      <c r="H46" s="41">
        <f>G46*2.25/100</f>
        <v>9.7704000000000004</v>
      </c>
      <c r="I46" s="40">
        <f>G46-H46</f>
        <v>424.46960000000001</v>
      </c>
    </row>
    <row r="47" spans="2:14" ht="15.6" x14ac:dyDescent="0.3">
      <c r="B47" s="46" t="s">
        <v>310</v>
      </c>
      <c r="C47" s="45">
        <v>1668</v>
      </c>
      <c r="D47" s="44">
        <v>75</v>
      </c>
      <c r="E47" s="43">
        <f>C47-(C47*D47/100)</f>
        <v>417</v>
      </c>
      <c r="F47" s="40">
        <v>18</v>
      </c>
      <c r="G47" s="42">
        <f>E47+(E47*F47/100)</f>
        <v>492.06</v>
      </c>
      <c r="H47" s="41">
        <f>G47*2.25/100</f>
        <v>11.071350000000001</v>
      </c>
      <c r="I47" s="40">
        <f>G47-H47</f>
        <v>480.98865000000001</v>
      </c>
    </row>
    <row r="48" spans="2:14" ht="15.6" x14ac:dyDescent="0.3">
      <c r="B48" s="46"/>
      <c r="C48" s="45"/>
      <c r="D48" s="44">
        <v>75</v>
      </c>
      <c r="E48" s="43"/>
      <c r="F48" s="40"/>
      <c r="G48" s="42"/>
      <c r="H48" s="41"/>
      <c r="I48" s="40"/>
    </row>
    <row r="49" spans="2:9" ht="15.6" x14ac:dyDescent="0.3">
      <c r="B49" s="46" t="s">
        <v>309</v>
      </c>
      <c r="C49" s="45">
        <v>693</v>
      </c>
      <c r="D49" s="44">
        <v>75</v>
      </c>
      <c r="E49" s="43">
        <f>C49-(C49*D49/100)</f>
        <v>173.25</v>
      </c>
      <c r="F49" s="40">
        <v>18</v>
      </c>
      <c r="G49" s="42">
        <f>E49+(E49*F49/100)</f>
        <v>204.435</v>
      </c>
      <c r="H49" s="41">
        <f>G49*2.25/100</f>
        <v>4.5997874999999997</v>
      </c>
      <c r="I49" s="40">
        <f>G49-H49</f>
        <v>199.83521250000001</v>
      </c>
    </row>
    <row r="50" spans="2:9" ht="15.6" x14ac:dyDescent="0.3">
      <c r="B50" s="46" t="s">
        <v>308</v>
      </c>
      <c r="C50" s="45">
        <v>1161</v>
      </c>
      <c r="D50" s="44">
        <v>75</v>
      </c>
      <c r="E50" s="43">
        <f>C50-(C50*D50/100)</f>
        <v>290.25</v>
      </c>
      <c r="F50" s="40">
        <v>18</v>
      </c>
      <c r="G50" s="42">
        <f>E50+(E50*F50/100)</f>
        <v>342.495</v>
      </c>
      <c r="H50" s="41">
        <f>G50*2.25/100</f>
        <v>7.7061374999999996</v>
      </c>
      <c r="I50" s="40">
        <f>G50-H50</f>
        <v>334.78886249999999</v>
      </c>
    </row>
    <row r="51" spans="2:9" ht="15.6" x14ac:dyDescent="0.3">
      <c r="B51" s="46" t="s">
        <v>307</v>
      </c>
      <c r="C51" s="45">
        <v>1594</v>
      </c>
      <c r="D51" s="44">
        <v>75</v>
      </c>
      <c r="E51" s="43">
        <f>C51-(C51*D51/100)</f>
        <v>398.5</v>
      </c>
      <c r="F51" s="40">
        <v>18</v>
      </c>
      <c r="G51" s="42">
        <f>E51+(E51*F51/100)</f>
        <v>470.23</v>
      </c>
      <c r="H51" s="41">
        <f>G51*2.25/100</f>
        <v>10.580174999999999</v>
      </c>
      <c r="I51" s="40">
        <f>G51-H51</f>
        <v>459.64982500000002</v>
      </c>
    </row>
    <row r="52" spans="2:9" ht="15.6" x14ac:dyDescent="0.3">
      <c r="B52" s="46" t="s">
        <v>306</v>
      </c>
      <c r="C52" s="45">
        <v>1846</v>
      </c>
      <c r="D52" s="44">
        <v>75</v>
      </c>
      <c r="E52" s="43">
        <f>C52-(C52*D52/100)</f>
        <v>461.5</v>
      </c>
      <c r="F52" s="40">
        <v>18</v>
      </c>
      <c r="G52" s="42">
        <f>E52+(E52*F52/100)</f>
        <v>544.56999999999994</v>
      </c>
      <c r="H52" s="41">
        <f>G52*2.25/100</f>
        <v>12.252824999999998</v>
      </c>
      <c r="I52" s="40">
        <f>G52-H52</f>
        <v>532.31717499999991</v>
      </c>
    </row>
    <row r="53" spans="2:9" ht="15.6" x14ac:dyDescent="0.3">
      <c r="B53" s="46" t="s">
        <v>305</v>
      </c>
      <c r="C53" s="45">
        <v>2080</v>
      </c>
      <c r="D53" s="44">
        <v>75</v>
      </c>
      <c r="E53" s="43">
        <f>C53-(C53*D53/100)</f>
        <v>520</v>
      </c>
      <c r="F53" s="40">
        <v>18</v>
      </c>
      <c r="G53" s="42">
        <f>E53+(E53*F53/100)</f>
        <v>613.6</v>
      </c>
      <c r="H53" s="41">
        <f>G53*2.25/100</f>
        <v>13.806000000000001</v>
      </c>
      <c r="I53" s="40">
        <f>G53-H53</f>
        <v>599.79399999999998</v>
      </c>
    </row>
    <row r="54" spans="2:9" ht="15.6" x14ac:dyDescent="0.3">
      <c r="B54" s="46"/>
      <c r="C54" s="45"/>
      <c r="D54" s="44">
        <v>75</v>
      </c>
      <c r="E54" s="43"/>
      <c r="F54" s="40"/>
      <c r="G54" s="42"/>
      <c r="H54" s="41"/>
      <c r="I54" s="40"/>
    </row>
    <row r="55" spans="2:9" ht="15.6" x14ac:dyDescent="0.3">
      <c r="B55" s="46" t="s">
        <v>304</v>
      </c>
      <c r="C55" s="45">
        <v>804</v>
      </c>
      <c r="D55" s="44">
        <v>75</v>
      </c>
      <c r="E55" s="43">
        <f>C55-(C55*D55/100)</f>
        <v>201</v>
      </c>
      <c r="F55" s="40">
        <v>18</v>
      </c>
      <c r="G55" s="42">
        <f>E55+(E55*F55/100)</f>
        <v>237.18</v>
      </c>
      <c r="H55" s="41">
        <f>G55*2.25/100</f>
        <v>5.3365499999999999</v>
      </c>
      <c r="I55" s="40">
        <f>G55-H55</f>
        <v>231.84345000000002</v>
      </c>
    </row>
    <row r="56" spans="2:9" ht="15.6" x14ac:dyDescent="0.3">
      <c r="B56" s="46" t="s">
        <v>303</v>
      </c>
      <c r="C56" s="45">
        <v>1386</v>
      </c>
      <c r="D56" s="44">
        <v>75</v>
      </c>
      <c r="E56" s="43">
        <f>C56-(C56*D56/100)</f>
        <v>346.5</v>
      </c>
      <c r="F56" s="40">
        <v>18</v>
      </c>
      <c r="G56" s="42">
        <f>E56+(E56*F56/100)</f>
        <v>408.87</v>
      </c>
      <c r="H56" s="41">
        <f>G56*2.25/100</f>
        <v>9.1995749999999994</v>
      </c>
      <c r="I56" s="40">
        <f>G56-H56</f>
        <v>399.67042500000002</v>
      </c>
    </row>
    <row r="57" spans="2:9" ht="15.6" x14ac:dyDescent="0.3">
      <c r="B57" s="46" t="s">
        <v>302</v>
      </c>
      <c r="C57" s="45">
        <v>2000</v>
      </c>
      <c r="D57" s="44">
        <v>75</v>
      </c>
      <c r="E57" s="43">
        <f>C57-(C57*D57/100)</f>
        <v>500</v>
      </c>
      <c r="F57" s="40">
        <v>18</v>
      </c>
      <c r="G57" s="42">
        <f>E57+(E57*F57/100)</f>
        <v>590</v>
      </c>
      <c r="H57" s="41">
        <f>G57*2.25/100</f>
        <v>13.275</v>
      </c>
      <c r="I57" s="40">
        <f>G57-H57</f>
        <v>576.72500000000002</v>
      </c>
    </row>
    <row r="58" spans="2:9" ht="15.6" x14ac:dyDescent="0.3">
      <c r="B58" s="46" t="s">
        <v>301</v>
      </c>
      <c r="C58" s="45">
        <v>2312</v>
      </c>
      <c r="D58" s="44">
        <v>75</v>
      </c>
      <c r="E58" s="43">
        <f>C58-(C58*D58/100)</f>
        <v>578</v>
      </c>
      <c r="F58" s="40">
        <v>18</v>
      </c>
      <c r="G58" s="42">
        <f>E58+(E58*F58/100)</f>
        <v>682.04</v>
      </c>
      <c r="H58" s="41">
        <f>G58*2.25/100</f>
        <v>15.345899999999999</v>
      </c>
      <c r="I58" s="40">
        <f>G58-H58</f>
        <v>666.69409999999993</v>
      </c>
    </row>
    <row r="59" spans="2:9" ht="15.6" x14ac:dyDescent="0.3">
      <c r="B59" s="46" t="s">
        <v>300</v>
      </c>
      <c r="C59" s="45">
        <v>2612</v>
      </c>
      <c r="D59" s="44">
        <v>75</v>
      </c>
      <c r="E59" s="43">
        <f>C59-(C59*D59/100)</f>
        <v>653</v>
      </c>
      <c r="F59" s="40">
        <v>18</v>
      </c>
      <c r="G59" s="42">
        <f>E59+(E59*F59/100)</f>
        <v>770.54</v>
      </c>
      <c r="H59" s="41">
        <f>G59*2.25/100</f>
        <v>17.337149999999998</v>
      </c>
      <c r="I59" s="40">
        <f>G59-H59</f>
        <v>753.20285000000001</v>
      </c>
    </row>
    <row r="60" spans="2:9" ht="15.6" x14ac:dyDescent="0.3">
      <c r="B60" s="46"/>
      <c r="C60" s="45"/>
      <c r="D60" s="44">
        <v>75</v>
      </c>
      <c r="E60" s="43"/>
      <c r="F60" s="40"/>
      <c r="G60" s="42"/>
      <c r="H60" s="41"/>
      <c r="I60" s="40"/>
    </row>
    <row r="61" spans="2:9" ht="15.6" x14ac:dyDescent="0.3">
      <c r="B61" s="46" t="s">
        <v>259</v>
      </c>
      <c r="C61" s="45">
        <v>958</v>
      </c>
      <c r="D61" s="44">
        <v>75</v>
      </c>
      <c r="E61" s="43">
        <f>C61-(C61*D61/100)</f>
        <v>239.5</v>
      </c>
      <c r="F61" s="40">
        <v>18</v>
      </c>
      <c r="G61" s="42">
        <f>E61+(E61*F61/100)</f>
        <v>282.61</v>
      </c>
      <c r="H61" s="41">
        <f>G61*2.25/100</f>
        <v>6.3587250000000006</v>
      </c>
      <c r="I61" s="40">
        <f>G61-H61</f>
        <v>276.25127500000002</v>
      </c>
    </row>
    <row r="62" spans="2:9" ht="15.6" x14ac:dyDescent="0.3">
      <c r="B62" s="46" t="s">
        <v>299</v>
      </c>
      <c r="C62" s="45">
        <v>1704</v>
      </c>
      <c r="D62" s="44">
        <v>75</v>
      </c>
      <c r="E62" s="43">
        <f>C62-(C62*D62/100)</f>
        <v>426</v>
      </c>
      <c r="F62" s="40">
        <v>18</v>
      </c>
      <c r="G62" s="42">
        <f>E62+(E62*F62/100)</f>
        <v>502.68</v>
      </c>
      <c r="H62" s="41">
        <f>G62*2.25/100</f>
        <v>11.3103</v>
      </c>
      <c r="I62" s="40">
        <f>G62-H62</f>
        <v>491.36970000000002</v>
      </c>
    </row>
    <row r="63" spans="2:9" ht="15.6" x14ac:dyDescent="0.3">
      <c r="B63" s="46" t="s">
        <v>298</v>
      </c>
      <c r="C63" s="45">
        <v>2455</v>
      </c>
      <c r="D63" s="44">
        <v>75</v>
      </c>
      <c r="E63" s="43">
        <f>C63-(C63*D63/100)</f>
        <v>613.75</v>
      </c>
      <c r="F63" s="40">
        <v>18</v>
      </c>
      <c r="G63" s="42">
        <f>E63+(E63*F63/100)</f>
        <v>724.22500000000002</v>
      </c>
      <c r="H63" s="41">
        <f>G63*2.25/100</f>
        <v>16.2950625</v>
      </c>
      <c r="I63" s="40">
        <f>G63-H63</f>
        <v>707.92993750000005</v>
      </c>
    </row>
    <row r="64" spans="2:9" ht="15.6" x14ac:dyDescent="0.3">
      <c r="B64" s="46" t="s">
        <v>297</v>
      </c>
      <c r="C64" s="45">
        <v>2740</v>
      </c>
      <c r="D64" s="44">
        <v>75</v>
      </c>
      <c r="E64" s="43">
        <f>C64-(C64*D64/100)</f>
        <v>685</v>
      </c>
      <c r="F64" s="40">
        <v>18</v>
      </c>
      <c r="G64" s="42">
        <f>E64+(E64*F64/100)</f>
        <v>808.3</v>
      </c>
      <c r="H64" s="41">
        <f>G64*2.25/100</f>
        <v>18.18675</v>
      </c>
      <c r="I64" s="40">
        <f>G64-H64</f>
        <v>790.11324999999999</v>
      </c>
    </row>
    <row r="65" spans="2:9" ht="15.6" x14ac:dyDescent="0.3">
      <c r="B65" s="46" t="s">
        <v>296</v>
      </c>
      <c r="C65" s="45">
        <v>3212</v>
      </c>
      <c r="D65" s="44">
        <v>75</v>
      </c>
      <c r="E65" s="43">
        <f>C65-(C65*D65/100)</f>
        <v>803</v>
      </c>
      <c r="F65" s="40">
        <v>18</v>
      </c>
      <c r="G65" s="42">
        <f>E65+(E65*F65/100)</f>
        <v>947.54</v>
      </c>
      <c r="H65" s="41">
        <f>G65*2.25/100</f>
        <v>21.319650000000003</v>
      </c>
      <c r="I65" s="40">
        <f>G65-H65</f>
        <v>926.22034999999994</v>
      </c>
    </row>
    <row r="66" spans="2:9" ht="15.6" x14ac:dyDescent="0.3">
      <c r="B66" s="46"/>
      <c r="C66" s="45"/>
      <c r="D66" s="44">
        <v>75</v>
      </c>
      <c r="E66" s="43"/>
      <c r="F66" s="40"/>
      <c r="G66" s="42"/>
      <c r="H66" s="41"/>
      <c r="I66" s="40"/>
    </row>
    <row r="67" spans="2:9" ht="15.6" x14ac:dyDescent="0.3">
      <c r="B67" s="46" t="s">
        <v>295</v>
      </c>
      <c r="C67" s="45">
        <v>1177</v>
      </c>
      <c r="D67" s="44">
        <v>75</v>
      </c>
      <c r="E67" s="43">
        <f>C67-(C67*D67/100)</f>
        <v>294.25</v>
      </c>
      <c r="F67" s="40">
        <v>18</v>
      </c>
      <c r="G67" s="42">
        <f>E67+(E67*F67/100)</f>
        <v>347.21500000000003</v>
      </c>
      <c r="H67" s="41">
        <f>G67*2.25/100</f>
        <v>7.8123375000000008</v>
      </c>
      <c r="I67" s="40">
        <f>G67-H67</f>
        <v>339.40266250000002</v>
      </c>
    </row>
    <row r="68" spans="2:9" ht="15.6" x14ac:dyDescent="0.3">
      <c r="B68" s="46" t="s">
        <v>294</v>
      </c>
      <c r="C68" s="45">
        <v>2048</v>
      </c>
      <c r="D68" s="44">
        <v>75</v>
      </c>
      <c r="E68" s="43">
        <f>C68-(C68*D68/100)</f>
        <v>512</v>
      </c>
      <c r="F68" s="40">
        <v>18</v>
      </c>
      <c r="G68" s="42">
        <f>E68+(E68*F68/100)</f>
        <v>604.16</v>
      </c>
      <c r="H68" s="41">
        <f>G68*2.25/100</f>
        <v>13.593599999999999</v>
      </c>
      <c r="I68" s="40">
        <f>G68-H68</f>
        <v>590.56639999999993</v>
      </c>
    </row>
    <row r="69" spans="2:9" ht="15.6" x14ac:dyDescent="0.3">
      <c r="B69" s="46" t="s">
        <v>293</v>
      </c>
      <c r="C69" s="45">
        <v>3039</v>
      </c>
      <c r="D69" s="44">
        <v>75</v>
      </c>
      <c r="E69" s="43">
        <f>C69-(C69*D69/100)</f>
        <v>759.75</v>
      </c>
      <c r="F69" s="40">
        <v>18</v>
      </c>
      <c r="G69" s="42">
        <f>E69+(E69*F69/100)</f>
        <v>896.505</v>
      </c>
      <c r="H69" s="41">
        <f>G69*2.25/100</f>
        <v>20.171362500000001</v>
      </c>
      <c r="I69" s="40">
        <f>G69-H69</f>
        <v>876.33363750000001</v>
      </c>
    </row>
    <row r="70" spans="2:9" ht="15.6" x14ac:dyDescent="0.3">
      <c r="B70" s="46" t="s">
        <v>292</v>
      </c>
      <c r="C70" s="45">
        <v>3469</v>
      </c>
      <c r="D70" s="44">
        <v>75</v>
      </c>
      <c r="E70" s="43">
        <f>C70-(C70*D70/100)</f>
        <v>867.25</v>
      </c>
      <c r="F70" s="40">
        <v>18</v>
      </c>
      <c r="G70" s="42">
        <f>E70+(E70*F70/100)</f>
        <v>1023.355</v>
      </c>
      <c r="H70" s="41">
        <f>G70*2.25/100</f>
        <v>23.025487500000001</v>
      </c>
      <c r="I70" s="40">
        <f>G70-H70</f>
        <v>1000.3295125</v>
      </c>
    </row>
    <row r="71" spans="2:9" ht="15.6" x14ac:dyDescent="0.3">
      <c r="B71" s="46" t="s">
        <v>291</v>
      </c>
      <c r="C71" s="45">
        <v>3951</v>
      </c>
      <c r="D71" s="44">
        <v>75</v>
      </c>
      <c r="E71" s="43">
        <f>C71-(C71*D71/100)</f>
        <v>987.75</v>
      </c>
      <c r="F71" s="40">
        <v>18</v>
      </c>
      <c r="G71" s="42">
        <f>E71+(E71*F71/100)</f>
        <v>1165.5450000000001</v>
      </c>
      <c r="H71" s="41">
        <f>G71*2.25/100</f>
        <v>26.224762500000001</v>
      </c>
      <c r="I71" s="40">
        <f>G71-H71</f>
        <v>1139.3202375000001</v>
      </c>
    </row>
    <row r="72" spans="2:9" ht="15.6" x14ac:dyDescent="0.3">
      <c r="B72" s="46"/>
      <c r="C72" s="45"/>
      <c r="D72" s="44">
        <v>75</v>
      </c>
      <c r="E72" s="43"/>
      <c r="F72" s="40"/>
      <c r="G72" s="42"/>
      <c r="H72" s="41"/>
      <c r="I72" s="40"/>
    </row>
    <row r="73" spans="2:9" ht="15.6" x14ac:dyDescent="0.3">
      <c r="B73" s="46" t="s">
        <v>290</v>
      </c>
      <c r="C73" s="45">
        <v>1454</v>
      </c>
      <c r="D73" s="44">
        <v>75</v>
      </c>
      <c r="E73" s="43">
        <f>C73-(C73*D73/100)</f>
        <v>363.5</v>
      </c>
      <c r="F73" s="40">
        <v>18</v>
      </c>
      <c r="G73" s="42">
        <f>E73+(E73*F73/100)</f>
        <v>428.93</v>
      </c>
      <c r="H73" s="41">
        <f>G73*2.25/100</f>
        <v>9.6509249999999991</v>
      </c>
      <c r="I73" s="40">
        <f>G73-H73</f>
        <v>419.27907500000003</v>
      </c>
    </row>
    <row r="74" spans="2:9" ht="15.6" x14ac:dyDescent="0.3">
      <c r="B74" s="46" t="s">
        <v>289</v>
      </c>
      <c r="C74" s="45">
        <v>2715</v>
      </c>
      <c r="D74" s="44">
        <v>75</v>
      </c>
      <c r="E74" s="43">
        <f>C74-(C74*D74/100)</f>
        <v>678.75</v>
      </c>
      <c r="F74" s="40">
        <v>18</v>
      </c>
      <c r="G74" s="42">
        <f>E74+(E74*F74/100)</f>
        <v>800.92499999999995</v>
      </c>
      <c r="H74" s="41">
        <f>G74*2.25/100</f>
        <v>18.020812499999998</v>
      </c>
      <c r="I74" s="40">
        <f>G74-H74</f>
        <v>782.90418749999992</v>
      </c>
    </row>
    <row r="75" spans="2:9" ht="15.6" x14ac:dyDescent="0.3">
      <c r="B75" s="46" t="s">
        <v>288</v>
      </c>
      <c r="C75" s="45">
        <v>3881</v>
      </c>
      <c r="D75" s="44">
        <v>75</v>
      </c>
      <c r="E75" s="43">
        <f>C75-(C75*D75/100)</f>
        <v>970.25</v>
      </c>
      <c r="F75" s="40">
        <v>18</v>
      </c>
      <c r="G75" s="42">
        <f>E75+(E75*F75/100)</f>
        <v>1144.895</v>
      </c>
      <c r="H75" s="41">
        <f>G75*2.25/100</f>
        <v>25.760137499999999</v>
      </c>
      <c r="I75" s="40">
        <f>G75-H75</f>
        <v>1119.1348625000001</v>
      </c>
    </row>
    <row r="76" spans="2:9" ht="15.6" x14ac:dyDescent="0.3">
      <c r="B76" s="46" t="s">
        <v>287</v>
      </c>
      <c r="C76" s="45">
        <v>4357</v>
      </c>
      <c r="D76" s="44">
        <v>75</v>
      </c>
      <c r="E76" s="43">
        <f>C76-(C76*D76/100)</f>
        <v>1089.25</v>
      </c>
      <c r="F76" s="40">
        <v>18</v>
      </c>
      <c r="G76" s="42">
        <f>E76+(E76*F76/100)</f>
        <v>1285.3150000000001</v>
      </c>
      <c r="H76" s="41">
        <f>G76*2.25/100</f>
        <v>28.919587500000002</v>
      </c>
      <c r="I76" s="40">
        <f>G76-H76</f>
        <v>1256.3954125</v>
      </c>
    </row>
    <row r="77" spans="2:9" ht="15.6" x14ac:dyDescent="0.3">
      <c r="B77" s="46" t="s">
        <v>286</v>
      </c>
      <c r="C77" s="45">
        <v>5102</v>
      </c>
      <c r="D77" s="44">
        <v>75</v>
      </c>
      <c r="E77" s="43">
        <f>C77-(C77*D77/100)</f>
        <v>1275.5</v>
      </c>
      <c r="F77" s="40">
        <v>18</v>
      </c>
      <c r="G77" s="42">
        <f>E77+(E77*F77/100)</f>
        <v>1505.09</v>
      </c>
      <c r="H77" s="41">
        <f>G77*2.25/100</f>
        <v>33.864525</v>
      </c>
      <c r="I77" s="40">
        <f>G77-H77</f>
        <v>1471.225475</v>
      </c>
    </row>
    <row r="78" spans="2:9" ht="15.6" x14ac:dyDescent="0.3">
      <c r="B78" s="46"/>
      <c r="C78" s="45"/>
      <c r="D78" s="44">
        <v>75</v>
      </c>
      <c r="E78" s="43"/>
      <c r="F78" s="40"/>
      <c r="G78" s="42"/>
      <c r="H78" s="41"/>
      <c r="I78" s="40"/>
    </row>
    <row r="79" spans="2:9" ht="15.6" x14ac:dyDescent="0.3">
      <c r="B79" s="46" t="s">
        <v>258</v>
      </c>
      <c r="C79" s="45">
        <v>1790</v>
      </c>
      <c r="D79" s="44">
        <v>75</v>
      </c>
      <c r="E79" s="43">
        <f>C79-(C79*D79/100)</f>
        <v>447.5</v>
      </c>
      <c r="F79" s="40">
        <v>18</v>
      </c>
      <c r="G79" s="42">
        <f>E79+(E79*F79/100)</f>
        <v>528.04999999999995</v>
      </c>
      <c r="H79" s="41">
        <f>G79*2.25/100</f>
        <v>11.881124999999999</v>
      </c>
      <c r="I79" s="40">
        <f>G79-H79</f>
        <v>516.16887499999996</v>
      </c>
    </row>
    <row r="80" spans="2:9" ht="15.6" x14ac:dyDescent="0.3">
      <c r="B80" s="46" t="s">
        <v>285</v>
      </c>
      <c r="C80" s="45">
        <v>3328</v>
      </c>
      <c r="D80" s="44">
        <v>75</v>
      </c>
      <c r="E80" s="43">
        <f>C80-(C80*D80/100)</f>
        <v>832</v>
      </c>
      <c r="F80" s="40">
        <v>18</v>
      </c>
      <c r="G80" s="42">
        <f>E80+(E80*F80/100)</f>
        <v>981.76</v>
      </c>
      <c r="H80" s="41">
        <f>G80*2.25/100</f>
        <v>22.089600000000001</v>
      </c>
      <c r="I80" s="40">
        <f>G80-H80</f>
        <v>959.67039999999997</v>
      </c>
    </row>
    <row r="81" spans="2:9" ht="15.6" x14ac:dyDescent="0.3">
      <c r="B81" s="46" t="s">
        <v>284</v>
      </c>
      <c r="C81" s="45">
        <v>4796</v>
      </c>
      <c r="D81" s="44">
        <v>75</v>
      </c>
      <c r="E81" s="43">
        <f>C81-(C81*D81/100)</f>
        <v>1199</v>
      </c>
      <c r="F81" s="40">
        <v>18</v>
      </c>
      <c r="G81" s="42">
        <f>E81+(E81*F81/100)</f>
        <v>1414.82</v>
      </c>
      <c r="H81" s="41">
        <f>G81*2.25/100</f>
        <v>31.833449999999999</v>
      </c>
      <c r="I81" s="40">
        <f>G81-H81</f>
        <v>1382.9865499999999</v>
      </c>
    </row>
    <row r="82" spans="2:9" ht="15.6" x14ac:dyDescent="0.3">
      <c r="B82" s="46" t="s">
        <v>283</v>
      </c>
      <c r="C82" s="45">
        <v>5360</v>
      </c>
      <c r="D82" s="44">
        <v>75</v>
      </c>
      <c r="E82" s="43">
        <f>C82-(C82*D82/100)</f>
        <v>1340</v>
      </c>
      <c r="F82" s="40">
        <v>18</v>
      </c>
      <c r="G82" s="42">
        <f>E82+(E82*F82/100)</f>
        <v>1581.2</v>
      </c>
      <c r="H82" s="41">
        <f>G82*2.25/100</f>
        <v>35.577000000000005</v>
      </c>
      <c r="I82" s="40">
        <f>G82-H82</f>
        <v>1545.623</v>
      </c>
    </row>
    <row r="83" spans="2:9" ht="15.6" x14ac:dyDescent="0.3">
      <c r="B83" s="46" t="s">
        <v>282</v>
      </c>
      <c r="C83" s="45">
        <v>6289</v>
      </c>
      <c r="D83" s="44">
        <v>75</v>
      </c>
      <c r="E83" s="43">
        <f>C83-(C83*D83/100)</f>
        <v>1572.25</v>
      </c>
      <c r="F83" s="40">
        <v>18</v>
      </c>
      <c r="G83" s="42">
        <f>E83+(E83*F83/100)</f>
        <v>1855.2550000000001</v>
      </c>
      <c r="H83" s="41">
        <f>G83*2.25/100</f>
        <v>41.743237500000006</v>
      </c>
      <c r="I83" s="40">
        <f>G83-H83</f>
        <v>1813.5117625</v>
      </c>
    </row>
    <row r="84" spans="2:9" ht="15.6" x14ac:dyDescent="0.3">
      <c r="B84" s="46"/>
      <c r="C84" s="45"/>
      <c r="D84" s="44">
        <v>75</v>
      </c>
      <c r="E84" s="43"/>
      <c r="F84" s="40"/>
      <c r="G84" s="42"/>
      <c r="H84" s="41"/>
      <c r="I84" s="40"/>
    </row>
    <row r="85" spans="2:9" ht="15.6" x14ac:dyDescent="0.3">
      <c r="B85" s="46" t="s">
        <v>281</v>
      </c>
      <c r="C85" s="45">
        <v>2261</v>
      </c>
      <c r="D85" s="44">
        <v>75</v>
      </c>
      <c r="E85" s="43">
        <f>C85-(C85*D85/100)</f>
        <v>565.25</v>
      </c>
      <c r="F85" s="40">
        <v>18</v>
      </c>
      <c r="G85" s="42">
        <f>E85+(E85*F85/100)</f>
        <v>666.995</v>
      </c>
      <c r="H85" s="41">
        <f>G85*2.25/100</f>
        <v>15.0073875</v>
      </c>
      <c r="I85" s="40">
        <f>G85-H85</f>
        <v>651.98761249999995</v>
      </c>
    </row>
    <row r="86" spans="2:9" ht="15.6" x14ac:dyDescent="0.3">
      <c r="B86" s="46" t="s">
        <v>280</v>
      </c>
      <c r="C86" s="45">
        <v>4322</v>
      </c>
      <c r="D86" s="44">
        <v>75</v>
      </c>
      <c r="E86" s="43">
        <f>C86-(C86*D86/100)</f>
        <v>1080.5</v>
      </c>
      <c r="F86" s="40">
        <v>18</v>
      </c>
      <c r="G86" s="42">
        <f>E86+(E86*F86/100)</f>
        <v>1274.99</v>
      </c>
      <c r="H86" s="41">
        <f>G86*2.25/100</f>
        <v>28.687275</v>
      </c>
      <c r="I86" s="40">
        <f>G86-H86</f>
        <v>1246.302725</v>
      </c>
    </row>
    <row r="87" spans="2:9" ht="15.6" x14ac:dyDescent="0.3">
      <c r="B87" s="46" t="s">
        <v>279</v>
      </c>
      <c r="C87" s="45">
        <v>6130</v>
      </c>
      <c r="D87" s="44">
        <v>75</v>
      </c>
      <c r="E87" s="43">
        <f>C87-(C87*D87/100)</f>
        <v>1532.5</v>
      </c>
      <c r="F87" s="40">
        <v>18</v>
      </c>
      <c r="G87" s="42">
        <f>E87+(E87*F87/100)</f>
        <v>1808.35</v>
      </c>
      <c r="H87" s="41">
        <f>G87*2.25/100</f>
        <v>40.687874999999998</v>
      </c>
      <c r="I87" s="40">
        <f>G87-H87</f>
        <v>1767.6621249999998</v>
      </c>
    </row>
    <row r="88" spans="2:9" ht="15.6" x14ac:dyDescent="0.3">
      <c r="B88" s="46" t="s">
        <v>278</v>
      </c>
      <c r="C88" s="45">
        <v>6847</v>
      </c>
      <c r="D88" s="44">
        <v>75</v>
      </c>
      <c r="E88" s="43">
        <f>C88-(C88*D88/100)</f>
        <v>1711.75</v>
      </c>
      <c r="F88" s="40">
        <v>18</v>
      </c>
      <c r="G88" s="42">
        <f>E88+(E88*F88/100)</f>
        <v>2019.865</v>
      </c>
      <c r="H88" s="41">
        <f>G88*2.25/100</f>
        <v>45.446962499999998</v>
      </c>
      <c r="I88" s="40">
        <f>G88-H88</f>
        <v>1974.4180375000001</v>
      </c>
    </row>
    <row r="89" spans="2:9" ht="15.6" x14ac:dyDescent="0.3">
      <c r="B89" s="46" t="s">
        <v>277</v>
      </c>
      <c r="C89" s="45">
        <v>7850</v>
      </c>
      <c r="D89" s="44">
        <v>75</v>
      </c>
      <c r="E89" s="43">
        <f>C89-(C89*D89/100)</f>
        <v>1962.5</v>
      </c>
      <c r="F89" s="40">
        <v>18</v>
      </c>
      <c r="G89" s="42">
        <f>E89+(E89*F89/100)</f>
        <v>2315.75</v>
      </c>
      <c r="H89" s="41">
        <f>G89*2.25/100</f>
        <v>52.104374999999997</v>
      </c>
      <c r="I89" s="40">
        <f>G89-H89</f>
        <v>2263.6456250000001</v>
      </c>
    </row>
    <row r="90" spans="2:9" ht="15.6" x14ac:dyDescent="0.3">
      <c r="B90" s="46"/>
      <c r="C90" s="45"/>
      <c r="D90" s="44">
        <v>75</v>
      </c>
      <c r="E90" s="43"/>
      <c r="F90" s="40"/>
      <c r="G90" s="42"/>
      <c r="H90" s="41"/>
      <c r="I90" s="40"/>
    </row>
    <row r="91" spans="2:9" ht="15.6" x14ac:dyDescent="0.3">
      <c r="B91" s="46" t="s">
        <v>276</v>
      </c>
      <c r="C91" s="45">
        <v>2817</v>
      </c>
      <c r="D91" s="44">
        <v>75</v>
      </c>
      <c r="E91" s="43">
        <f>C91-(C91*D91/100)</f>
        <v>704.25</v>
      </c>
      <c r="F91" s="40">
        <v>18</v>
      </c>
      <c r="G91" s="42">
        <f>E91+(E91*F91/100)</f>
        <v>831.01499999999999</v>
      </c>
      <c r="H91" s="41">
        <f>G91*2.25/100</f>
        <v>18.697837500000002</v>
      </c>
      <c r="I91" s="40">
        <f>G91-H91</f>
        <v>812.31716249999999</v>
      </c>
    </row>
    <row r="92" spans="2:9" ht="15.6" x14ac:dyDescent="0.3">
      <c r="B92" s="46" t="s">
        <v>275</v>
      </c>
      <c r="C92" s="45">
        <v>5835</v>
      </c>
      <c r="D92" s="44">
        <v>75</v>
      </c>
      <c r="E92" s="43">
        <f>C92-(C92*D92/100)</f>
        <v>1458.75</v>
      </c>
      <c r="F92" s="40">
        <v>18</v>
      </c>
      <c r="G92" s="42">
        <f>E92+(E92*F92/100)</f>
        <v>1721.325</v>
      </c>
      <c r="H92" s="41">
        <f>G92*2.25/100</f>
        <v>38.729812500000001</v>
      </c>
      <c r="I92" s="40">
        <f>G92-H92</f>
        <v>1682.5951875000001</v>
      </c>
    </row>
    <row r="93" spans="2:9" ht="15.6" x14ac:dyDescent="0.3">
      <c r="B93" s="46" t="s">
        <v>274</v>
      </c>
      <c r="C93" s="45">
        <v>8218</v>
      </c>
      <c r="D93" s="44">
        <v>75</v>
      </c>
      <c r="E93" s="43">
        <f>C93-(C93*D93/100)</f>
        <v>2054.5</v>
      </c>
      <c r="F93" s="40">
        <v>18</v>
      </c>
      <c r="G93" s="42">
        <f>E93+(E93*F93/100)</f>
        <v>2424.31</v>
      </c>
      <c r="H93" s="41">
        <f>G93*2.25/100</f>
        <v>54.546975000000003</v>
      </c>
      <c r="I93" s="40">
        <f>G93-H93</f>
        <v>2369.7630249999997</v>
      </c>
    </row>
    <row r="94" spans="2:9" ht="15.6" x14ac:dyDescent="0.3">
      <c r="B94" s="46" t="s">
        <v>273</v>
      </c>
      <c r="C94" s="45">
        <v>9678</v>
      </c>
      <c r="D94" s="44">
        <v>75</v>
      </c>
      <c r="E94" s="43">
        <f>C94-(C94*D94/100)</f>
        <v>2419.5</v>
      </c>
      <c r="F94" s="40">
        <v>18</v>
      </c>
      <c r="G94" s="42">
        <f>E94+(E94*F94/100)</f>
        <v>2855.01</v>
      </c>
      <c r="H94" s="41">
        <f>G94*2.25/100</f>
        <v>64.237725000000012</v>
      </c>
      <c r="I94" s="40">
        <f>G94-H94</f>
        <v>2790.7722750000003</v>
      </c>
    </row>
    <row r="95" spans="2:9" ht="15.6" x14ac:dyDescent="0.3">
      <c r="B95" s="46" t="s">
        <v>272</v>
      </c>
      <c r="C95" s="45">
        <v>10852</v>
      </c>
      <c r="D95" s="44">
        <v>75</v>
      </c>
      <c r="E95" s="43">
        <f>C95-(C95*D95/100)</f>
        <v>2713</v>
      </c>
      <c r="F95" s="40">
        <v>18</v>
      </c>
      <c r="G95" s="42">
        <f>E95+(E95*F95/100)</f>
        <v>3201.34</v>
      </c>
      <c r="H95" s="41">
        <f>G95*2.25/100</f>
        <v>72.030150000000006</v>
      </c>
      <c r="I95" s="40">
        <f>G95-H95</f>
        <v>3129.3098500000001</v>
      </c>
    </row>
    <row r="96" spans="2:9" ht="15.6" x14ac:dyDescent="0.3">
      <c r="B96" s="46"/>
      <c r="C96" s="45"/>
      <c r="D96" s="44">
        <v>75</v>
      </c>
      <c r="E96" s="43"/>
      <c r="F96" s="40"/>
      <c r="G96" s="42"/>
      <c r="H96" s="41"/>
      <c r="I96" s="40"/>
    </row>
    <row r="97" spans="2:9" ht="15.6" x14ac:dyDescent="0.3">
      <c r="B97" s="46" t="s">
        <v>271</v>
      </c>
      <c r="C97" s="45">
        <v>3475</v>
      </c>
      <c r="D97" s="44">
        <v>75</v>
      </c>
      <c r="E97" s="43">
        <f>C97-(C97*D97/100)</f>
        <v>868.75</v>
      </c>
      <c r="F97" s="40">
        <v>18</v>
      </c>
      <c r="G97" s="42">
        <f>E97+(E97*F97/100)</f>
        <v>1025.125</v>
      </c>
      <c r="H97" s="41">
        <f>G97*2.25/100</f>
        <v>23.065312500000001</v>
      </c>
      <c r="I97" s="40">
        <f>G97-H97</f>
        <v>1002.0596875</v>
      </c>
    </row>
    <row r="98" spans="2:9" ht="15.6" x14ac:dyDescent="0.3">
      <c r="B98" s="46" t="s">
        <v>270</v>
      </c>
      <c r="C98" s="45">
        <v>7178</v>
      </c>
      <c r="D98" s="44">
        <v>75</v>
      </c>
      <c r="E98" s="43">
        <f>C98-(C98*D98/100)</f>
        <v>1794.5</v>
      </c>
      <c r="F98" s="40">
        <v>18</v>
      </c>
      <c r="G98" s="42">
        <f>E98+(E98*F98/100)</f>
        <v>2117.5100000000002</v>
      </c>
      <c r="H98" s="41">
        <f>G98*2.25/100</f>
        <v>47.643975000000012</v>
      </c>
      <c r="I98" s="40">
        <f>G98-H98</f>
        <v>2069.8660250000003</v>
      </c>
    </row>
    <row r="99" spans="2:9" ht="15.6" x14ac:dyDescent="0.3">
      <c r="B99" s="46" t="s">
        <v>269</v>
      </c>
      <c r="C99" s="45">
        <v>10447</v>
      </c>
      <c r="D99" s="44">
        <v>75</v>
      </c>
      <c r="E99" s="43">
        <f>C99-(C99*D99/100)</f>
        <v>2611.75</v>
      </c>
      <c r="F99" s="40">
        <v>18</v>
      </c>
      <c r="G99" s="42">
        <f>E99+(E99*F99/100)</f>
        <v>3081.8649999999998</v>
      </c>
      <c r="H99" s="41">
        <f>G99*2.25/100</f>
        <v>69.341962499999994</v>
      </c>
      <c r="I99" s="40">
        <f>G99-H99</f>
        <v>3012.5230374999996</v>
      </c>
    </row>
    <row r="100" spans="2:9" ht="15.6" x14ac:dyDescent="0.3">
      <c r="B100" s="46" t="s">
        <v>268</v>
      </c>
      <c r="C100" s="45">
        <v>11859</v>
      </c>
      <c r="D100" s="44">
        <v>75</v>
      </c>
      <c r="E100" s="43">
        <f>C100-(C100*D100/100)</f>
        <v>2964.75</v>
      </c>
      <c r="F100" s="40">
        <v>18</v>
      </c>
      <c r="G100" s="42">
        <f>E100+(E100*F100/100)</f>
        <v>3498.4049999999997</v>
      </c>
      <c r="H100" s="41">
        <f>G100*2.25/100</f>
        <v>78.714112499999999</v>
      </c>
      <c r="I100" s="40">
        <f>G100-H100</f>
        <v>3419.6908874999999</v>
      </c>
    </row>
    <row r="101" spans="2:9" ht="15.6" x14ac:dyDescent="0.3">
      <c r="B101" s="46" t="s">
        <v>267</v>
      </c>
      <c r="C101" s="45">
        <v>14246</v>
      </c>
      <c r="D101" s="44">
        <v>75</v>
      </c>
      <c r="E101" s="43">
        <f>C101-(C101*D101/100)</f>
        <v>3561.5</v>
      </c>
      <c r="F101" s="40">
        <v>18</v>
      </c>
      <c r="G101" s="42">
        <f>E101+(E101*F101/100)</f>
        <v>4202.57</v>
      </c>
      <c r="H101" s="41">
        <f>G101*2.25/100</f>
        <v>94.557824999999994</v>
      </c>
      <c r="I101" s="40">
        <f>G101-H101</f>
        <v>4108.0121749999998</v>
      </c>
    </row>
    <row r="104" spans="2:9" ht="62.4" x14ac:dyDescent="0.3">
      <c r="B104" s="50" t="s">
        <v>266</v>
      </c>
      <c r="C104" s="45" t="s">
        <v>8</v>
      </c>
      <c r="D104" s="35" t="s">
        <v>265</v>
      </c>
      <c r="E104" s="49" t="s">
        <v>88</v>
      </c>
      <c r="F104" s="33" t="s">
        <v>264</v>
      </c>
      <c r="G104" s="48" t="s">
        <v>263</v>
      </c>
      <c r="H104" s="47" t="s">
        <v>262</v>
      </c>
      <c r="I104" s="47" t="s">
        <v>261</v>
      </c>
    </row>
    <row r="105" spans="2:9" ht="15.6" x14ac:dyDescent="0.3">
      <c r="B105" s="46" t="s">
        <v>260</v>
      </c>
      <c r="C105" s="45">
        <v>422</v>
      </c>
      <c r="D105" s="44">
        <v>40</v>
      </c>
      <c r="E105" s="43">
        <f>C105-(C105*D105/100)</f>
        <v>253.2</v>
      </c>
      <c r="F105" s="40">
        <v>18</v>
      </c>
      <c r="G105" s="42">
        <f>E105+(E105*F105/100)</f>
        <v>298.77599999999995</v>
      </c>
      <c r="H105" s="41">
        <f>G105*2.25/100</f>
        <v>6.722459999999999</v>
      </c>
      <c r="I105" s="40">
        <f>G105-H105</f>
        <v>292.05353999999994</v>
      </c>
    </row>
    <row r="106" spans="2:9" ht="15.6" x14ac:dyDescent="0.3">
      <c r="B106" s="46" t="s">
        <v>259</v>
      </c>
      <c r="C106" s="45">
        <v>837</v>
      </c>
      <c r="D106" s="44">
        <v>38</v>
      </c>
      <c r="E106" s="43">
        <f>C106-(C106*D106/100)</f>
        <v>518.94000000000005</v>
      </c>
      <c r="F106" s="40">
        <v>18</v>
      </c>
      <c r="G106" s="42">
        <f>E106+(E106*F106/100)</f>
        <v>612.34920000000011</v>
      </c>
      <c r="H106" s="41">
        <f>G106*2.25/100</f>
        <v>13.777857000000004</v>
      </c>
      <c r="I106" s="40">
        <f>G106-H106</f>
        <v>598.57134300000007</v>
      </c>
    </row>
    <row r="107" spans="2:9" ht="15.6" x14ac:dyDescent="0.3">
      <c r="B107" s="46" t="s">
        <v>258</v>
      </c>
      <c r="C107" s="45">
        <v>1625</v>
      </c>
      <c r="D107" s="44">
        <v>43.5</v>
      </c>
      <c r="E107" s="43">
        <f>C107-(C107*D107/100)</f>
        <v>918.125</v>
      </c>
      <c r="F107" s="40">
        <v>18</v>
      </c>
      <c r="G107" s="42">
        <f>E107+(E107*F107/100)</f>
        <v>1083.3875</v>
      </c>
      <c r="H107" s="41">
        <f>G107*2.25/100</f>
        <v>24.376218750000003</v>
      </c>
      <c r="I107" s="40">
        <f>G107-H107</f>
        <v>1059.0112812500001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F32C-6789-4E17-A93F-3479E269ADEC}">
  <dimension ref="A2:T22"/>
  <sheetViews>
    <sheetView topLeftCell="C1" workbookViewId="0">
      <selection activeCell="J2" sqref="J2"/>
    </sheetView>
  </sheetViews>
  <sheetFormatPr defaultRowHeight="14.4" x14ac:dyDescent="0.3"/>
  <cols>
    <col min="1" max="1" width="21.5546875" hidden="1" customWidth="1"/>
    <col min="2" max="2" width="14.33203125" customWidth="1"/>
    <col min="3" max="3" width="21.5546875" customWidth="1"/>
    <col min="4" max="4" width="9.5546875" bestFit="1" customWidth="1"/>
    <col min="5" max="5" width="9.6640625" bestFit="1" customWidth="1"/>
    <col min="6" max="6" width="16.77734375" hidden="1" customWidth="1"/>
    <col min="7" max="7" width="15.5546875" bestFit="1" customWidth="1"/>
    <col min="8" max="8" width="15.33203125" bestFit="1" customWidth="1"/>
    <col min="9" max="9" width="15.109375" bestFit="1" customWidth="1"/>
    <col min="10" max="10" width="15.109375" customWidth="1"/>
    <col min="12" max="12" width="21.5546875" hidden="1" customWidth="1"/>
    <col min="13" max="13" width="9.5546875" bestFit="1" customWidth="1"/>
    <col min="14" max="14" width="9.6640625" bestFit="1" customWidth="1"/>
    <col min="15" max="15" width="16.77734375" hidden="1" customWidth="1"/>
    <col min="16" max="16" width="15.5546875" bestFit="1" customWidth="1"/>
    <col min="17" max="17" width="14.44140625" hidden="1" customWidth="1"/>
    <col min="18" max="18" width="21.33203125" hidden="1" customWidth="1"/>
    <col min="19" max="19" width="15.33203125" bestFit="1" customWidth="1"/>
    <col min="20" max="20" width="15.109375" bestFit="1" customWidth="1"/>
  </cols>
  <sheetData>
    <row r="2" spans="1:20" ht="25.8" x14ac:dyDescent="0.5">
      <c r="D2" s="39" t="s">
        <v>257</v>
      </c>
      <c r="E2" s="38"/>
      <c r="F2" s="38"/>
      <c r="G2" s="38"/>
      <c r="H2" s="38"/>
      <c r="K2" s="22"/>
      <c r="L2" s="22"/>
      <c r="M2" s="37" t="s">
        <v>256</v>
      </c>
      <c r="N2" s="22"/>
      <c r="O2" s="22"/>
      <c r="P2" s="22"/>
      <c r="Q2" s="22"/>
      <c r="R2" s="22"/>
      <c r="S2" s="22"/>
      <c r="T2" s="22"/>
    </row>
    <row r="3" spans="1:20" ht="15.6" x14ac:dyDescent="0.3">
      <c r="A3" s="36" t="s">
        <v>253</v>
      </c>
      <c r="B3" s="36"/>
      <c r="C3" s="33" t="s">
        <v>255</v>
      </c>
      <c r="D3" s="33" t="s">
        <v>252</v>
      </c>
      <c r="E3" s="33" t="s">
        <v>251</v>
      </c>
      <c r="F3" s="33" t="s">
        <v>250</v>
      </c>
      <c r="G3" s="33" t="s">
        <v>249</v>
      </c>
      <c r="H3" s="33" t="s">
        <v>246</v>
      </c>
      <c r="I3" s="35" t="s">
        <v>88</v>
      </c>
      <c r="J3" s="34"/>
      <c r="K3" s="33" t="s">
        <v>254</v>
      </c>
      <c r="L3" s="1" t="s">
        <v>253</v>
      </c>
      <c r="M3" s="1" t="s">
        <v>252</v>
      </c>
      <c r="N3" s="1" t="s">
        <v>251</v>
      </c>
      <c r="O3" s="1" t="s">
        <v>250</v>
      </c>
      <c r="P3" s="1" t="s">
        <v>249</v>
      </c>
      <c r="Q3" s="1" t="s">
        <v>248</v>
      </c>
      <c r="R3" s="1" t="s">
        <v>247</v>
      </c>
      <c r="S3" s="1" t="s">
        <v>246</v>
      </c>
      <c r="T3" s="32" t="s">
        <v>88</v>
      </c>
    </row>
    <row r="4" spans="1:20" ht="15.6" x14ac:dyDescent="0.3">
      <c r="A4" t="s">
        <v>245</v>
      </c>
      <c r="C4" s="31">
        <v>1</v>
      </c>
      <c r="D4" s="31" t="s">
        <v>243</v>
      </c>
      <c r="E4" s="31" t="s">
        <v>242</v>
      </c>
      <c r="F4" s="31" t="s">
        <v>237</v>
      </c>
      <c r="G4" s="31">
        <v>45</v>
      </c>
      <c r="H4" s="31">
        <v>20</v>
      </c>
      <c r="I4" s="30">
        <f>G4*(1-H4/100)</f>
        <v>36</v>
      </c>
      <c r="J4" s="29"/>
      <c r="K4" s="28">
        <v>1</v>
      </c>
      <c r="L4" s="28" t="s">
        <v>244</v>
      </c>
      <c r="M4" s="28" t="s">
        <v>243</v>
      </c>
      <c r="N4" s="28" t="s">
        <v>242</v>
      </c>
      <c r="O4" s="28" t="s">
        <v>241</v>
      </c>
      <c r="P4" s="28">
        <v>191</v>
      </c>
      <c r="Q4" s="28">
        <v>70</v>
      </c>
      <c r="R4" s="28">
        <v>18</v>
      </c>
      <c r="S4" s="28">
        <v>10</v>
      </c>
      <c r="T4" s="27">
        <f>P4*(1-S4/100)</f>
        <v>171.9</v>
      </c>
    </row>
    <row r="5" spans="1:20" ht="15.6" x14ac:dyDescent="0.3">
      <c r="A5" t="s">
        <v>236</v>
      </c>
      <c r="C5" s="31">
        <v>2</v>
      </c>
      <c r="D5" s="31" t="s">
        <v>239</v>
      </c>
      <c r="E5" s="31" t="s">
        <v>238</v>
      </c>
      <c r="F5" s="31" t="s">
        <v>237</v>
      </c>
      <c r="G5" s="31">
        <v>55</v>
      </c>
      <c r="H5" s="31">
        <v>10</v>
      </c>
      <c r="I5" s="30">
        <f>G5*(1-H5/100)</f>
        <v>49.5</v>
      </c>
      <c r="J5" s="29"/>
      <c r="K5" s="28">
        <v>2</v>
      </c>
      <c r="L5" s="28" t="s">
        <v>240</v>
      </c>
      <c r="M5" s="28" t="s">
        <v>239</v>
      </c>
      <c r="N5" s="28" t="s">
        <v>238</v>
      </c>
      <c r="O5" s="28" t="s">
        <v>237</v>
      </c>
      <c r="P5" s="28">
        <v>214</v>
      </c>
      <c r="Q5" s="28">
        <v>40</v>
      </c>
      <c r="R5" s="28">
        <v>18</v>
      </c>
      <c r="S5" s="28">
        <v>20</v>
      </c>
      <c r="T5" s="27">
        <f>P5*(1-S5/100)</f>
        <v>171.20000000000002</v>
      </c>
    </row>
    <row r="6" spans="1:20" ht="15.6" x14ac:dyDescent="0.3">
      <c r="A6" t="s">
        <v>236</v>
      </c>
      <c r="C6" s="31">
        <v>3</v>
      </c>
      <c r="D6" s="31" t="s">
        <v>234</v>
      </c>
      <c r="E6" s="31" t="s">
        <v>233</v>
      </c>
      <c r="F6" s="31" t="s">
        <v>224</v>
      </c>
      <c r="G6" s="31">
        <v>55</v>
      </c>
      <c r="H6" s="31">
        <v>0</v>
      </c>
      <c r="I6" s="30">
        <f>G6*(1-H6/100)</f>
        <v>55</v>
      </c>
      <c r="J6" s="29"/>
      <c r="K6" s="28">
        <v>3</v>
      </c>
      <c r="L6" s="28" t="s">
        <v>235</v>
      </c>
      <c r="M6" s="28" t="s">
        <v>234</v>
      </c>
      <c r="N6" s="28" t="s">
        <v>233</v>
      </c>
      <c r="O6" s="28" t="s">
        <v>224</v>
      </c>
      <c r="P6" s="28">
        <v>235</v>
      </c>
      <c r="Q6" s="28">
        <v>30</v>
      </c>
      <c r="R6" s="28">
        <v>18</v>
      </c>
      <c r="S6" s="28">
        <v>10</v>
      </c>
      <c r="T6" s="27">
        <f>P6*(1-S6/100)</f>
        <v>211.5</v>
      </c>
    </row>
    <row r="7" spans="1:20" ht="15.6" x14ac:dyDescent="0.3">
      <c r="A7" t="s">
        <v>232</v>
      </c>
      <c r="C7" s="31">
        <v>4</v>
      </c>
      <c r="D7" s="31" t="s">
        <v>230</v>
      </c>
      <c r="E7" s="31" t="s">
        <v>229</v>
      </c>
      <c r="F7" s="31" t="s">
        <v>224</v>
      </c>
      <c r="G7" s="31">
        <v>60</v>
      </c>
      <c r="H7" s="31">
        <v>0</v>
      </c>
      <c r="I7" s="30">
        <f>G7*(1-H7/100)</f>
        <v>60</v>
      </c>
      <c r="J7" s="29"/>
      <c r="K7" s="28">
        <v>4</v>
      </c>
      <c r="L7" s="28" t="s">
        <v>231</v>
      </c>
      <c r="M7" s="28" t="s">
        <v>230</v>
      </c>
      <c r="N7" s="28" t="s">
        <v>229</v>
      </c>
      <c r="O7" s="28" t="s">
        <v>224</v>
      </c>
      <c r="P7" s="28">
        <v>262</v>
      </c>
      <c r="Q7" s="28">
        <v>30</v>
      </c>
      <c r="R7" s="28">
        <v>18</v>
      </c>
      <c r="S7" s="28">
        <v>10</v>
      </c>
      <c r="T7" s="27">
        <f>P7*(1-S7/100)</f>
        <v>235.8</v>
      </c>
    </row>
    <row r="8" spans="1:20" ht="15.6" x14ac:dyDescent="0.3">
      <c r="A8" t="s">
        <v>228</v>
      </c>
      <c r="C8" s="31">
        <v>5</v>
      </c>
      <c r="D8" s="31" t="s">
        <v>226</v>
      </c>
      <c r="E8" s="31" t="s">
        <v>225</v>
      </c>
      <c r="F8" s="31" t="s">
        <v>224</v>
      </c>
      <c r="G8" s="31">
        <v>78</v>
      </c>
      <c r="H8" s="31">
        <v>0</v>
      </c>
      <c r="I8" s="30">
        <f>G8*(1-H8/100)</f>
        <v>78</v>
      </c>
      <c r="J8" s="29"/>
      <c r="K8" s="28">
        <v>5</v>
      </c>
      <c r="L8" s="28" t="s">
        <v>227</v>
      </c>
      <c r="M8" s="28" t="s">
        <v>226</v>
      </c>
      <c r="N8" s="28" t="s">
        <v>225</v>
      </c>
      <c r="O8" s="28" t="s">
        <v>224</v>
      </c>
      <c r="P8" s="28">
        <v>332</v>
      </c>
      <c r="Q8" s="28">
        <v>28</v>
      </c>
      <c r="R8" s="28">
        <v>18</v>
      </c>
      <c r="S8" s="28">
        <v>0</v>
      </c>
      <c r="T8" s="27">
        <f>P8*(1-S8/100)</f>
        <v>332</v>
      </c>
    </row>
    <row r="9" spans="1:20" ht="15.6" x14ac:dyDescent="0.3">
      <c r="A9" t="s">
        <v>223</v>
      </c>
      <c r="C9" s="31">
        <v>6</v>
      </c>
      <c r="D9" s="31" t="s">
        <v>222</v>
      </c>
      <c r="E9" s="31" t="s">
        <v>221</v>
      </c>
      <c r="F9" s="31" t="s">
        <v>220</v>
      </c>
      <c r="G9" s="31">
        <v>92</v>
      </c>
      <c r="H9" s="31">
        <v>0</v>
      </c>
      <c r="I9" s="30">
        <f>G9*(1-H9/100)</f>
        <v>92</v>
      </c>
      <c r="J9" s="29"/>
      <c r="K9" s="28">
        <v>6</v>
      </c>
      <c r="L9" s="28" t="s">
        <v>223</v>
      </c>
      <c r="M9" s="28" t="s">
        <v>222</v>
      </c>
      <c r="N9" s="28" t="s">
        <v>221</v>
      </c>
      <c r="O9" s="28" t="s">
        <v>220</v>
      </c>
      <c r="P9" s="28">
        <v>372</v>
      </c>
      <c r="Q9" s="28">
        <v>26</v>
      </c>
      <c r="R9" s="28">
        <v>26</v>
      </c>
      <c r="S9" s="28">
        <v>0</v>
      </c>
      <c r="T9" s="27">
        <f>P9*(1-S9/100)</f>
        <v>372</v>
      </c>
    </row>
    <row r="10" spans="1:20" ht="15.6" x14ac:dyDescent="0.3">
      <c r="A10" t="s">
        <v>218</v>
      </c>
      <c r="C10" s="31">
        <v>7</v>
      </c>
      <c r="D10" s="31" t="s">
        <v>217</v>
      </c>
      <c r="E10" s="31" t="s">
        <v>219</v>
      </c>
      <c r="F10" s="31" t="s">
        <v>215</v>
      </c>
      <c r="G10" s="31">
        <v>142</v>
      </c>
      <c r="H10" s="31">
        <v>0</v>
      </c>
      <c r="I10" s="30">
        <f>G10*(1-H10/100)</f>
        <v>142</v>
      </c>
      <c r="J10" s="29"/>
      <c r="K10" s="28">
        <v>7</v>
      </c>
      <c r="L10" s="28" t="s">
        <v>218</v>
      </c>
      <c r="M10" s="28" t="s">
        <v>217</v>
      </c>
      <c r="N10" s="28" t="s">
        <v>216</v>
      </c>
      <c r="O10" s="28" t="s">
        <v>215</v>
      </c>
      <c r="P10" s="28">
        <v>474</v>
      </c>
      <c r="Q10" s="28">
        <v>15</v>
      </c>
      <c r="R10" s="28">
        <v>35</v>
      </c>
      <c r="S10" s="28">
        <v>0</v>
      </c>
      <c r="T10" s="27">
        <f>P10*(1-S10/100)</f>
        <v>474</v>
      </c>
    </row>
    <row r="11" spans="1:20" ht="15.6" x14ac:dyDescent="0.3">
      <c r="A11" t="s">
        <v>214</v>
      </c>
      <c r="C11" s="31">
        <v>8</v>
      </c>
      <c r="D11" s="31" t="s">
        <v>211</v>
      </c>
      <c r="E11" s="31" t="s">
        <v>213</v>
      </c>
      <c r="F11" s="31" t="s">
        <v>209</v>
      </c>
      <c r="G11" s="31">
        <v>154</v>
      </c>
      <c r="H11" s="31">
        <v>0</v>
      </c>
      <c r="I11" s="30">
        <f>G11*(1-H11/100)</f>
        <v>154</v>
      </c>
      <c r="J11" s="29"/>
      <c r="K11" s="28">
        <v>8</v>
      </c>
      <c r="L11" s="28" t="s">
        <v>212</v>
      </c>
      <c r="M11" s="28" t="s">
        <v>211</v>
      </c>
      <c r="N11" s="28" t="s">
        <v>210</v>
      </c>
      <c r="O11" s="28" t="s">
        <v>209</v>
      </c>
      <c r="P11" s="28">
        <v>613</v>
      </c>
      <c r="Q11" s="28">
        <v>12</v>
      </c>
      <c r="R11" s="28">
        <v>35</v>
      </c>
      <c r="S11" s="28">
        <v>0</v>
      </c>
      <c r="T11" s="27">
        <f>P11*(1-S11/100)</f>
        <v>613</v>
      </c>
    </row>
    <row r="12" spans="1:20" ht="15.6" x14ac:dyDescent="0.3">
      <c r="A12" t="s">
        <v>74</v>
      </c>
      <c r="C12" s="31">
        <v>9</v>
      </c>
      <c r="D12" s="31" t="s">
        <v>205</v>
      </c>
      <c r="E12" s="31" t="s">
        <v>208</v>
      </c>
      <c r="F12" s="31" t="s">
        <v>207</v>
      </c>
      <c r="G12" s="31">
        <v>214</v>
      </c>
      <c r="H12" s="31">
        <v>0</v>
      </c>
      <c r="I12" s="30">
        <f>G12*(1-H12/100)</f>
        <v>214</v>
      </c>
      <c r="J12" s="29"/>
      <c r="K12" s="28">
        <v>9</v>
      </c>
      <c r="L12" s="28" t="s">
        <v>206</v>
      </c>
      <c r="M12" s="28" t="s">
        <v>205</v>
      </c>
      <c r="N12" s="28" t="s">
        <v>204</v>
      </c>
      <c r="O12" s="28" t="s">
        <v>199</v>
      </c>
      <c r="P12" s="28">
        <v>732</v>
      </c>
      <c r="Q12" s="28">
        <v>11</v>
      </c>
      <c r="R12" s="28">
        <v>50</v>
      </c>
      <c r="S12" s="28">
        <v>0</v>
      </c>
      <c r="T12" s="27">
        <f>P12*(1-S12/100)</f>
        <v>732</v>
      </c>
    </row>
    <row r="13" spans="1:20" ht="15.6" x14ac:dyDescent="0.3">
      <c r="A13" t="s">
        <v>202</v>
      </c>
      <c r="C13" s="31">
        <v>10</v>
      </c>
      <c r="D13" s="31" t="s">
        <v>201</v>
      </c>
      <c r="E13" s="31" t="s">
        <v>203</v>
      </c>
      <c r="F13" s="31" t="s">
        <v>199</v>
      </c>
      <c r="G13" s="31">
        <v>258</v>
      </c>
      <c r="H13" s="31">
        <v>0</v>
      </c>
      <c r="I13" s="30">
        <f>G13*(1-H13/100)</f>
        <v>258</v>
      </c>
      <c r="J13" s="29"/>
      <c r="K13" s="28">
        <v>10</v>
      </c>
      <c r="L13" s="28" t="s">
        <v>202</v>
      </c>
      <c r="M13" s="28" t="s">
        <v>201</v>
      </c>
      <c r="N13" s="28" t="s">
        <v>200</v>
      </c>
      <c r="O13" s="28" t="s">
        <v>199</v>
      </c>
      <c r="P13" s="28">
        <v>851</v>
      </c>
      <c r="Q13" s="28">
        <v>16</v>
      </c>
      <c r="R13" s="28">
        <v>50</v>
      </c>
      <c r="S13" s="28">
        <v>0</v>
      </c>
      <c r="T13" s="27">
        <f>P13*(1-S13/100)</f>
        <v>851</v>
      </c>
    </row>
    <row r="14" spans="1:20" ht="15.6" x14ac:dyDescent="0.3">
      <c r="A14" t="s">
        <v>198</v>
      </c>
      <c r="C14" s="31">
        <v>11</v>
      </c>
      <c r="D14" s="31" t="s">
        <v>194</v>
      </c>
      <c r="E14" s="31" t="s">
        <v>197</v>
      </c>
      <c r="F14" s="31" t="s">
        <v>196</v>
      </c>
      <c r="G14" s="31">
        <v>314</v>
      </c>
      <c r="H14" s="31">
        <v>0</v>
      </c>
      <c r="I14" s="30">
        <f>G14*(1-H14/100)</f>
        <v>314</v>
      </c>
      <c r="J14" s="29"/>
      <c r="K14" s="28">
        <v>11</v>
      </c>
      <c r="L14" s="28" t="s">
        <v>195</v>
      </c>
      <c r="M14" s="28" t="s">
        <v>194</v>
      </c>
      <c r="N14" s="28" t="s">
        <v>193</v>
      </c>
      <c r="O14" s="28" t="s">
        <v>188</v>
      </c>
      <c r="P14" s="28">
        <v>1185</v>
      </c>
      <c r="Q14" s="28">
        <v>8</v>
      </c>
      <c r="R14" s="28">
        <v>60</v>
      </c>
      <c r="S14" s="28">
        <v>0</v>
      </c>
      <c r="T14" s="27">
        <f>P14*(1-S14/100)</f>
        <v>1185</v>
      </c>
    </row>
    <row r="15" spans="1:20" ht="15.6" x14ac:dyDescent="0.3">
      <c r="A15" t="s">
        <v>192</v>
      </c>
      <c r="C15" s="31">
        <v>12</v>
      </c>
      <c r="D15" s="31" t="s">
        <v>190</v>
      </c>
      <c r="E15" s="31" t="s">
        <v>189</v>
      </c>
      <c r="F15" s="31" t="s">
        <v>188</v>
      </c>
      <c r="G15" s="31">
        <v>390</v>
      </c>
      <c r="H15" s="31">
        <v>0</v>
      </c>
      <c r="I15" s="30">
        <f>G15*(1-H15/100)</f>
        <v>390</v>
      </c>
      <c r="J15" s="29"/>
      <c r="K15" s="28">
        <v>12</v>
      </c>
      <c r="L15" s="28" t="s">
        <v>191</v>
      </c>
      <c r="M15" s="28" t="s">
        <v>190</v>
      </c>
      <c r="N15" s="28" t="s">
        <v>189</v>
      </c>
      <c r="O15" s="28" t="s">
        <v>188</v>
      </c>
      <c r="P15" s="28">
        <v>1357</v>
      </c>
      <c r="Q15" s="28">
        <v>8</v>
      </c>
      <c r="R15" s="28">
        <v>60</v>
      </c>
      <c r="S15" s="28">
        <v>0</v>
      </c>
      <c r="T15" s="27">
        <f>P15*(1-S15/100)</f>
        <v>1357</v>
      </c>
    </row>
    <row r="16" spans="1:20" ht="15.6" x14ac:dyDescent="0.3">
      <c r="A16" t="s">
        <v>187</v>
      </c>
      <c r="C16" s="31">
        <v>13</v>
      </c>
      <c r="D16" s="31" t="s">
        <v>184</v>
      </c>
      <c r="E16" s="31" t="s">
        <v>186</v>
      </c>
      <c r="F16" s="31" t="s">
        <v>182</v>
      </c>
      <c r="G16" s="31">
        <v>496</v>
      </c>
      <c r="H16" s="31">
        <v>0</v>
      </c>
      <c r="I16" s="30">
        <f>G16*(1-H16/100)</f>
        <v>496</v>
      </c>
      <c r="J16" s="29"/>
      <c r="K16" s="28">
        <v>13</v>
      </c>
      <c r="L16" s="28" t="s">
        <v>185</v>
      </c>
      <c r="M16" s="28" t="s">
        <v>184</v>
      </c>
      <c r="N16" s="28" t="s">
        <v>183</v>
      </c>
      <c r="O16" s="28" t="s">
        <v>182</v>
      </c>
      <c r="P16" s="28">
        <v>1576</v>
      </c>
      <c r="Q16" s="28">
        <v>6</v>
      </c>
      <c r="R16" s="28">
        <v>96</v>
      </c>
      <c r="S16" s="28">
        <v>0</v>
      </c>
      <c r="T16" s="27">
        <f>P16*(1-S16/100)</f>
        <v>1576</v>
      </c>
    </row>
    <row r="17" spans="1:20" ht="15.6" x14ac:dyDescent="0.3">
      <c r="A17" t="s">
        <v>181</v>
      </c>
      <c r="C17" s="31">
        <v>14</v>
      </c>
      <c r="D17" s="31" t="s">
        <v>178</v>
      </c>
      <c r="E17" s="31" t="s">
        <v>180</v>
      </c>
      <c r="F17" s="31" t="s">
        <v>176</v>
      </c>
      <c r="G17" s="31">
        <v>587</v>
      </c>
      <c r="H17" s="31">
        <v>0</v>
      </c>
      <c r="I17" s="30">
        <f>G17*(1-H17/100)</f>
        <v>587</v>
      </c>
      <c r="J17" s="29"/>
      <c r="K17" s="28">
        <v>14</v>
      </c>
      <c r="L17" s="28" t="s">
        <v>179</v>
      </c>
      <c r="M17" s="28" t="s">
        <v>178</v>
      </c>
      <c r="N17" s="28" t="s">
        <v>177</v>
      </c>
      <c r="O17" s="28" t="s">
        <v>176</v>
      </c>
      <c r="P17" s="28">
        <v>2173</v>
      </c>
      <c r="Q17" s="28">
        <v>4</v>
      </c>
      <c r="R17" s="28">
        <v>96</v>
      </c>
      <c r="S17" s="28">
        <v>0</v>
      </c>
      <c r="T17" s="27">
        <f>P17*(1-S17/100)</f>
        <v>2173</v>
      </c>
    </row>
    <row r="18" spans="1:20" ht="15.6" x14ac:dyDescent="0.3">
      <c r="A18" t="s">
        <v>175</v>
      </c>
      <c r="C18" s="31">
        <v>15</v>
      </c>
      <c r="D18" s="31" t="s">
        <v>172</v>
      </c>
      <c r="E18" s="31" t="s">
        <v>174</v>
      </c>
      <c r="F18" s="31" t="s">
        <v>170</v>
      </c>
      <c r="G18" s="31">
        <v>719</v>
      </c>
      <c r="H18" s="31">
        <v>0</v>
      </c>
      <c r="I18" s="30">
        <f>G18*(1-H18/100)</f>
        <v>719</v>
      </c>
      <c r="J18" s="29"/>
      <c r="K18" s="28">
        <v>15</v>
      </c>
      <c r="L18" s="28" t="s">
        <v>173</v>
      </c>
      <c r="M18" s="28" t="s">
        <v>172</v>
      </c>
      <c r="N18" s="28" t="s">
        <v>171</v>
      </c>
      <c r="O18" s="28" t="s">
        <v>170</v>
      </c>
      <c r="P18" s="28">
        <v>2463</v>
      </c>
      <c r="Q18" s="28">
        <v>4</v>
      </c>
      <c r="R18" s="28">
        <v>139</v>
      </c>
      <c r="S18" s="28">
        <v>0</v>
      </c>
      <c r="T18" s="27">
        <f>P18*(1-S18/100)</f>
        <v>2463</v>
      </c>
    </row>
    <row r="19" spans="1:20" ht="15.6" x14ac:dyDescent="0.3">
      <c r="A19" t="s">
        <v>169</v>
      </c>
      <c r="C19" s="31">
        <v>16</v>
      </c>
      <c r="D19" s="31" t="s">
        <v>167</v>
      </c>
      <c r="E19" s="31" t="s">
        <v>166</v>
      </c>
      <c r="F19" s="31" t="s">
        <v>165</v>
      </c>
      <c r="G19" s="31">
        <v>820</v>
      </c>
      <c r="H19" s="31">
        <v>0</v>
      </c>
      <c r="I19" s="30">
        <f>G19*(1-H19/100)</f>
        <v>820</v>
      </c>
      <c r="J19" s="29"/>
      <c r="K19" s="28">
        <v>16</v>
      </c>
      <c r="L19" s="28" t="s">
        <v>168</v>
      </c>
      <c r="M19" s="28" t="s">
        <v>167</v>
      </c>
      <c r="N19" s="28" t="s">
        <v>166</v>
      </c>
      <c r="O19" s="28" t="s">
        <v>165</v>
      </c>
      <c r="P19" s="28">
        <v>3015</v>
      </c>
      <c r="Q19" s="28">
        <v>2</v>
      </c>
      <c r="R19" s="28">
        <v>139</v>
      </c>
      <c r="S19" s="28">
        <v>0</v>
      </c>
      <c r="T19" s="27">
        <f>P19*(1-S19/100)</f>
        <v>3015</v>
      </c>
    </row>
    <row r="20" spans="1:20" ht="15.6" x14ac:dyDescent="0.3">
      <c r="A20" t="s">
        <v>164</v>
      </c>
      <c r="C20" s="31">
        <v>17</v>
      </c>
      <c r="D20" s="31" t="s">
        <v>161</v>
      </c>
      <c r="E20" s="31" t="s">
        <v>163</v>
      </c>
      <c r="F20" s="31" t="s">
        <v>159</v>
      </c>
      <c r="G20" s="31">
        <v>1020</v>
      </c>
      <c r="H20" s="31">
        <v>0</v>
      </c>
      <c r="I20" s="30">
        <f>G20*(1-H20/100)</f>
        <v>1020</v>
      </c>
      <c r="J20" s="29"/>
      <c r="K20" s="28">
        <v>17</v>
      </c>
      <c r="L20" s="28" t="s">
        <v>162</v>
      </c>
      <c r="M20" s="28" t="s">
        <v>161</v>
      </c>
      <c r="N20" s="28" t="s">
        <v>160</v>
      </c>
      <c r="O20" s="28" t="s">
        <v>159</v>
      </c>
      <c r="P20" s="28">
        <v>3494</v>
      </c>
      <c r="Q20" s="28">
        <v>2</v>
      </c>
      <c r="R20" s="28">
        <v>268</v>
      </c>
      <c r="S20" s="28">
        <v>0</v>
      </c>
      <c r="T20" s="27">
        <f>P20*(1-S20/100)</f>
        <v>3494</v>
      </c>
    </row>
    <row r="21" spans="1:20" ht="15.6" x14ac:dyDescent="0.3">
      <c r="A21" t="s">
        <v>158</v>
      </c>
      <c r="C21" s="31">
        <v>18</v>
      </c>
      <c r="D21" s="31" t="s">
        <v>155</v>
      </c>
      <c r="E21" s="31" t="s">
        <v>157</v>
      </c>
      <c r="F21" s="31" t="s">
        <v>153</v>
      </c>
      <c r="G21" s="31">
        <v>1250</v>
      </c>
      <c r="H21" s="31">
        <v>0</v>
      </c>
      <c r="I21" s="30">
        <f>G21*(1-H21/100)</f>
        <v>1250</v>
      </c>
      <c r="J21" s="29"/>
      <c r="K21" s="28">
        <v>18</v>
      </c>
      <c r="L21" s="28" t="s">
        <v>156</v>
      </c>
      <c r="M21" s="28" t="s">
        <v>155</v>
      </c>
      <c r="N21" s="28" t="s">
        <v>154</v>
      </c>
      <c r="O21" s="28" t="s">
        <v>153</v>
      </c>
      <c r="P21" s="28">
        <v>4530</v>
      </c>
      <c r="Q21" s="28">
        <v>1</v>
      </c>
      <c r="R21" s="28">
        <v>268</v>
      </c>
      <c r="S21" s="28">
        <v>20</v>
      </c>
      <c r="T21" s="27">
        <f>P21*(1-S21/100)</f>
        <v>3624</v>
      </c>
    </row>
    <row r="22" spans="1:20" ht="15.6" x14ac:dyDescent="0.3">
      <c r="A22" t="s">
        <v>152</v>
      </c>
      <c r="C22" s="31">
        <v>19</v>
      </c>
      <c r="D22" s="31" t="s">
        <v>150</v>
      </c>
      <c r="E22" s="31" t="s">
        <v>149</v>
      </c>
      <c r="F22" s="31" t="s">
        <v>148</v>
      </c>
      <c r="G22" s="31">
        <v>1574</v>
      </c>
      <c r="H22" s="31">
        <v>0</v>
      </c>
      <c r="I22" s="30">
        <f>G22*(1-H22/100)</f>
        <v>1574</v>
      </c>
      <c r="J22" s="29"/>
      <c r="K22" s="28">
        <v>19</v>
      </c>
      <c r="L22" s="28" t="s">
        <v>151</v>
      </c>
      <c r="M22" s="28" t="s">
        <v>150</v>
      </c>
      <c r="N22" s="28" t="s">
        <v>149</v>
      </c>
      <c r="O22" s="28" t="s">
        <v>148</v>
      </c>
      <c r="P22" s="28">
        <v>6135</v>
      </c>
      <c r="Q22" s="28">
        <v>1</v>
      </c>
      <c r="R22" s="28">
        <v>312</v>
      </c>
      <c r="S22" s="28">
        <v>0</v>
      </c>
      <c r="T22" s="27">
        <f>P22*(1-S22/100)</f>
        <v>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764B-0CC4-4B92-ACDC-E5AED565ECF9}">
  <dimension ref="A1:E81"/>
  <sheetViews>
    <sheetView zoomScale="86" workbookViewId="0">
      <selection activeCell="I12" sqref="I12"/>
    </sheetView>
  </sheetViews>
  <sheetFormatPr defaultRowHeight="14.4" x14ac:dyDescent="0.3"/>
  <cols>
    <col min="1" max="3" width="15.6640625" customWidth="1"/>
    <col min="4" max="5" width="18.6640625" customWidth="1"/>
  </cols>
  <sheetData>
    <row r="1" spans="1:4" ht="28.8" x14ac:dyDescent="0.55000000000000004">
      <c r="A1" s="26" t="s">
        <v>147</v>
      </c>
      <c r="B1" s="25"/>
      <c r="C1" s="25"/>
    </row>
    <row r="2" spans="1:4" x14ac:dyDescent="0.3">
      <c r="A2" s="22" t="s">
        <v>91</v>
      </c>
      <c r="B2" s="22" t="s">
        <v>90</v>
      </c>
      <c r="C2" s="22" t="s">
        <v>89</v>
      </c>
      <c r="D2" s="21" t="s">
        <v>88</v>
      </c>
    </row>
    <row r="3" spans="1:4" x14ac:dyDescent="0.3">
      <c r="A3" t="s">
        <v>146</v>
      </c>
      <c r="B3" s="20">
        <v>218</v>
      </c>
      <c r="C3" s="19">
        <v>0.32</v>
      </c>
      <c r="D3" s="18">
        <f>B3*(1-C3)</f>
        <v>148.23999999999998</v>
      </c>
    </row>
    <row r="4" spans="1:4" x14ac:dyDescent="0.3">
      <c r="A4" t="s">
        <v>145</v>
      </c>
      <c r="B4" s="20">
        <v>243</v>
      </c>
      <c r="C4" s="19">
        <v>0.32</v>
      </c>
      <c r="D4" s="18">
        <f>B4*(1-C4)</f>
        <v>165.23999999999998</v>
      </c>
    </row>
    <row r="5" spans="1:4" x14ac:dyDescent="0.3">
      <c r="A5" t="s">
        <v>144</v>
      </c>
      <c r="B5" s="20">
        <v>272</v>
      </c>
      <c r="C5" s="19">
        <v>0.32</v>
      </c>
      <c r="D5" s="18">
        <f>B5*(1-C5)</f>
        <v>184.95999999999998</v>
      </c>
    </row>
    <row r="6" spans="1:4" x14ac:dyDescent="0.3">
      <c r="A6" t="s">
        <v>143</v>
      </c>
      <c r="B6" s="20">
        <v>324</v>
      </c>
      <c r="C6" s="19">
        <v>0.32</v>
      </c>
      <c r="D6" s="18">
        <f>B6*(1-C6)</f>
        <v>220.32</v>
      </c>
    </row>
    <row r="7" spans="1:4" x14ac:dyDescent="0.3">
      <c r="A7" t="s">
        <v>142</v>
      </c>
      <c r="B7" s="20">
        <v>350</v>
      </c>
      <c r="C7" s="19">
        <v>0.32</v>
      </c>
      <c r="D7" s="18">
        <f>B7*(1-C7)</f>
        <v>237.99999999999997</v>
      </c>
    </row>
    <row r="8" spans="1:4" x14ac:dyDescent="0.3">
      <c r="A8" t="s">
        <v>141</v>
      </c>
      <c r="B8" s="20">
        <v>362</v>
      </c>
      <c r="C8" s="19">
        <v>0.32</v>
      </c>
      <c r="D8" s="18">
        <f>B8*(1-C8)</f>
        <v>246.15999999999997</v>
      </c>
    </row>
    <row r="9" spans="1:4" x14ac:dyDescent="0.3">
      <c r="A9" t="s">
        <v>140</v>
      </c>
      <c r="B9" s="20">
        <v>373</v>
      </c>
      <c r="C9" s="19">
        <v>0.32</v>
      </c>
      <c r="D9" s="18">
        <f>B9*(1-C9)</f>
        <v>253.64</v>
      </c>
    </row>
    <row r="10" spans="1:4" x14ac:dyDescent="0.3">
      <c r="A10" t="s">
        <v>139</v>
      </c>
      <c r="B10" s="20">
        <v>496</v>
      </c>
      <c r="C10" s="19">
        <v>0.32</v>
      </c>
      <c r="D10" s="18">
        <f>B10*(1-C10)</f>
        <v>337.28</v>
      </c>
    </row>
    <row r="11" spans="1:4" x14ac:dyDescent="0.3">
      <c r="A11" t="s">
        <v>138</v>
      </c>
      <c r="B11" s="20">
        <v>563</v>
      </c>
      <c r="C11" s="19">
        <v>0.32</v>
      </c>
      <c r="D11" s="18">
        <f>B11*(1-C11)</f>
        <v>382.84</v>
      </c>
    </row>
    <row r="12" spans="1:4" x14ac:dyDescent="0.3">
      <c r="A12" t="s">
        <v>137</v>
      </c>
      <c r="B12" s="20">
        <v>638</v>
      </c>
      <c r="C12" s="19">
        <v>0.32</v>
      </c>
      <c r="D12" s="18">
        <f>B12*(1-C12)</f>
        <v>433.84</v>
      </c>
    </row>
    <row r="13" spans="1:4" x14ac:dyDescent="0.3">
      <c r="A13" t="s">
        <v>136</v>
      </c>
      <c r="B13" s="20">
        <v>726</v>
      </c>
      <c r="C13" s="19">
        <v>0.32</v>
      </c>
      <c r="D13" s="18">
        <f>B13*(1-C13)</f>
        <v>493.67999999999995</v>
      </c>
    </row>
    <row r="14" spans="1:4" x14ac:dyDescent="0.3">
      <c r="A14" t="s">
        <v>135</v>
      </c>
      <c r="B14" s="20">
        <v>862</v>
      </c>
      <c r="C14" s="19">
        <v>0.32</v>
      </c>
      <c r="D14" s="18">
        <f>B14*(1-C14)</f>
        <v>586.16</v>
      </c>
    </row>
    <row r="15" spans="1:4" x14ac:dyDescent="0.3">
      <c r="A15" t="s">
        <v>134</v>
      </c>
      <c r="B15" s="20">
        <v>904</v>
      </c>
      <c r="C15" s="19">
        <v>0.32</v>
      </c>
      <c r="D15" s="18">
        <f>B15*(1-C15)</f>
        <v>614.71999999999991</v>
      </c>
    </row>
    <row r="16" spans="1:4" x14ac:dyDescent="0.3">
      <c r="A16" t="s">
        <v>133</v>
      </c>
      <c r="B16" s="20">
        <v>997</v>
      </c>
      <c r="C16" s="19">
        <v>0.32</v>
      </c>
      <c r="D16" s="18">
        <f>B16*(1-C16)</f>
        <v>677.95999999999992</v>
      </c>
    </row>
    <row r="17" spans="1:4" x14ac:dyDescent="0.3">
      <c r="A17" t="s">
        <v>132</v>
      </c>
      <c r="B17" s="20">
        <v>1254</v>
      </c>
      <c r="C17" s="19">
        <v>0.32</v>
      </c>
      <c r="D17" s="18">
        <f>B17*(1-C17)</f>
        <v>852.71999999999991</v>
      </c>
    </row>
    <row r="18" spans="1:4" x14ac:dyDescent="0.3">
      <c r="A18" t="s">
        <v>131</v>
      </c>
      <c r="B18" s="20">
        <v>1412</v>
      </c>
      <c r="C18" s="19">
        <v>0.32</v>
      </c>
      <c r="D18" s="18">
        <f>B18*(1-C18)</f>
        <v>960.16</v>
      </c>
    </row>
    <row r="19" spans="1:4" x14ac:dyDescent="0.3">
      <c r="A19" t="s">
        <v>130</v>
      </c>
      <c r="B19" s="20">
        <v>1638</v>
      </c>
      <c r="C19" s="19">
        <v>0.32</v>
      </c>
      <c r="D19" s="18">
        <f>B19*(1-C19)</f>
        <v>1113.8399999999999</v>
      </c>
    </row>
    <row r="20" spans="1:4" x14ac:dyDescent="0.3">
      <c r="A20" t="s">
        <v>129</v>
      </c>
      <c r="B20" s="20">
        <v>1883</v>
      </c>
      <c r="C20" s="19">
        <v>0.32</v>
      </c>
      <c r="D20" s="18">
        <f>B20*(1-C20)</f>
        <v>1280.4399999999998</v>
      </c>
    </row>
    <row r="21" spans="1:4" x14ac:dyDescent="0.3">
      <c r="A21" t="s">
        <v>128</v>
      </c>
      <c r="B21" s="20">
        <v>2295</v>
      </c>
      <c r="C21" s="19">
        <v>0.32</v>
      </c>
      <c r="D21" s="18">
        <f>B21*(1-C21)</f>
        <v>1560.6</v>
      </c>
    </row>
    <row r="22" spans="1:4" x14ac:dyDescent="0.3">
      <c r="A22" t="s">
        <v>127</v>
      </c>
      <c r="B22" s="20">
        <v>2401</v>
      </c>
      <c r="C22" s="19">
        <v>0.32</v>
      </c>
      <c r="D22" s="18">
        <f>B22*(1-C22)</f>
        <v>1632.6799999999998</v>
      </c>
    </row>
    <row r="23" spans="1:4" x14ac:dyDescent="0.3">
      <c r="A23" t="s">
        <v>126</v>
      </c>
      <c r="B23" s="20">
        <v>2846</v>
      </c>
      <c r="C23" s="19">
        <v>0.32</v>
      </c>
      <c r="D23" s="18">
        <f>B23*(1-C23)</f>
        <v>1935.2799999999997</v>
      </c>
    </row>
    <row r="24" spans="1:4" x14ac:dyDescent="0.3">
      <c r="A24" t="s">
        <v>125</v>
      </c>
      <c r="B24" s="20">
        <v>3531</v>
      </c>
      <c r="C24" s="19">
        <v>0.32</v>
      </c>
      <c r="D24" s="18">
        <f>B24*(1-C24)</f>
        <v>2401.08</v>
      </c>
    </row>
    <row r="25" spans="1:4" x14ac:dyDescent="0.3">
      <c r="A25" t="s">
        <v>124</v>
      </c>
      <c r="B25" s="20">
        <v>3649</v>
      </c>
      <c r="C25" s="19">
        <v>0.32</v>
      </c>
      <c r="D25" s="18">
        <f>B25*(1-C25)</f>
        <v>2481.3199999999997</v>
      </c>
    </row>
    <row r="26" spans="1:4" x14ac:dyDescent="0.3">
      <c r="A26" t="s">
        <v>123</v>
      </c>
      <c r="B26" s="20">
        <v>4423</v>
      </c>
      <c r="C26" s="19">
        <v>0.32</v>
      </c>
      <c r="D26" s="18">
        <f>B26*(1-C26)</f>
        <v>3007.64</v>
      </c>
    </row>
    <row r="27" spans="1:4" x14ac:dyDescent="0.3">
      <c r="A27" t="s">
        <v>122</v>
      </c>
      <c r="B27" s="20">
        <v>5885</v>
      </c>
      <c r="C27" s="19">
        <v>0.32</v>
      </c>
      <c r="D27" s="18">
        <f>B27*(1-C27)</f>
        <v>4001.7999999999997</v>
      </c>
    </row>
    <row r="28" spans="1:4" x14ac:dyDescent="0.3">
      <c r="A28" t="s">
        <v>121</v>
      </c>
      <c r="B28" s="20">
        <v>7597</v>
      </c>
      <c r="C28" s="19">
        <v>0.32</v>
      </c>
      <c r="D28" s="18">
        <f>B28*(1-C28)</f>
        <v>5165.9599999999991</v>
      </c>
    </row>
    <row r="31" spans="1:4" ht="31.2" x14ac:dyDescent="0.6">
      <c r="A31" s="24" t="s">
        <v>120</v>
      </c>
    </row>
    <row r="32" spans="1:4" x14ac:dyDescent="0.3">
      <c r="A32" s="22" t="s">
        <v>91</v>
      </c>
      <c r="B32" s="22" t="s">
        <v>90</v>
      </c>
      <c r="C32" s="22" t="s">
        <v>89</v>
      </c>
      <c r="D32" s="21" t="s">
        <v>88</v>
      </c>
    </row>
    <row r="33" spans="1:4" x14ac:dyDescent="0.3">
      <c r="A33" t="s">
        <v>119</v>
      </c>
      <c r="B33" s="20">
        <v>254</v>
      </c>
      <c r="C33" s="19">
        <v>0.32</v>
      </c>
      <c r="D33" s="18">
        <f>B33*(1-C33)</f>
        <v>172.71999999999997</v>
      </c>
    </row>
    <row r="34" spans="1:4" x14ac:dyDescent="0.3">
      <c r="A34" t="s">
        <v>118</v>
      </c>
      <c r="B34" s="20">
        <v>277</v>
      </c>
      <c r="C34" s="19">
        <v>0.32</v>
      </c>
      <c r="D34" s="18">
        <f>B34*(1-C34)</f>
        <v>188.35999999999999</v>
      </c>
    </row>
    <row r="35" spans="1:4" x14ac:dyDescent="0.3">
      <c r="A35" t="s">
        <v>117</v>
      </c>
      <c r="B35" s="20">
        <v>309</v>
      </c>
      <c r="C35" s="19">
        <v>0.32</v>
      </c>
      <c r="D35" s="18">
        <f>B35*(1-C35)</f>
        <v>210.11999999999998</v>
      </c>
    </row>
    <row r="36" spans="1:4" x14ac:dyDescent="0.3">
      <c r="A36" t="s">
        <v>116</v>
      </c>
      <c r="B36" s="20">
        <v>372</v>
      </c>
      <c r="C36" s="19">
        <v>0.32</v>
      </c>
      <c r="D36" s="18">
        <f>B36*(1-C36)</f>
        <v>252.95999999999998</v>
      </c>
    </row>
    <row r="37" spans="1:4" x14ac:dyDescent="0.3">
      <c r="A37" t="s">
        <v>115</v>
      </c>
      <c r="B37" s="20">
        <v>400</v>
      </c>
      <c r="C37" s="19">
        <v>0.32</v>
      </c>
      <c r="D37" s="18">
        <f>B37*(1-C37)</f>
        <v>272</v>
      </c>
    </row>
    <row r="38" spans="1:4" x14ac:dyDescent="0.3">
      <c r="A38" t="s">
        <v>114</v>
      </c>
      <c r="B38" s="20">
        <v>424</v>
      </c>
      <c r="C38" s="19">
        <v>0.32</v>
      </c>
      <c r="D38" s="18">
        <f>B38*(1-C38)</f>
        <v>288.32</v>
      </c>
    </row>
    <row r="39" spans="1:4" x14ac:dyDescent="0.3">
      <c r="A39" t="s">
        <v>113</v>
      </c>
      <c r="B39" s="20">
        <v>442</v>
      </c>
      <c r="C39" s="19">
        <v>0.32</v>
      </c>
      <c r="D39" s="18">
        <f>B39*(1-C39)</f>
        <v>300.55999999999995</v>
      </c>
    </row>
    <row r="40" spans="1:4" x14ac:dyDescent="0.3">
      <c r="A40" t="s">
        <v>112</v>
      </c>
      <c r="B40" s="20">
        <v>571</v>
      </c>
      <c r="C40" s="19">
        <v>0.32</v>
      </c>
      <c r="D40" s="18">
        <f>B40*(1-C40)</f>
        <v>388.28</v>
      </c>
    </row>
    <row r="41" spans="1:4" x14ac:dyDescent="0.3">
      <c r="A41" t="s">
        <v>111</v>
      </c>
      <c r="B41" s="20">
        <v>642</v>
      </c>
      <c r="C41" s="19">
        <v>0.32</v>
      </c>
      <c r="D41" s="18">
        <f>B41*(1-C41)</f>
        <v>436.55999999999995</v>
      </c>
    </row>
    <row r="42" spans="1:4" x14ac:dyDescent="0.3">
      <c r="A42" t="s">
        <v>110</v>
      </c>
      <c r="B42" s="20">
        <v>708</v>
      </c>
      <c r="C42" s="19">
        <v>0.32</v>
      </c>
      <c r="D42" s="18">
        <f>B42*(1-C42)</f>
        <v>481.43999999999994</v>
      </c>
    </row>
    <row r="43" spans="1:4" x14ac:dyDescent="0.3">
      <c r="A43" t="s">
        <v>109</v>
      </c>
      <c r="B43" s="20">
        <v>823</v>
      </c>
      <c r="C43" s="19">
        <v>0.32</v>
      </c>
      <c r="D43" s="18">
        <f>B43*(1-C43)</f>
        <v>559.64</v>
      </c>
    </row>
    <row r="44" spans="1:4" x14ac:dyDescent="0.3">
      <c r="A44" t="s">
        <v>108</v>
      </c>
      <c r="B44" s="20">
        <v>977</v>
      </c>
      <c r="C44" s="19">
        <v>0.32</v>
      </c>
      <c r="D44" s="18">
        <f>B44*(1-C44)</f>
        <v>664.3599999999999</v>
      </c>
    </row>
    <row r="45" spans="1:4" x14ac:dyDescent="0.3">
      <c r="A45" t="s">
        <v>107</v>
      </c>
      <c r="B45" s="20">
        <v>1000</v>
      </c>
      <c r="C45" s="19">
        <v>0.32</v>
      </c>
      <c r="D45" s="18">
        <f>B45*(1-C45)</f>
        <v>679.99999999999989</v>
      </c>
    </row>
    <row r="46" spans="1:4" x14ac:dyDescent="0.3">
      <c r="A46" t="s">
        <v>106</v>
      </c>
      <c r="B46" s="20">
        <v>1118</v>
      </c>
      <c r="C46" s="19">
        <v>0.32</v>
      </c>
      <c r="D46" s="18">
        <f>B46*(1-C46)</f>
        <v>760.2399999999999</v>
      </c>
    </row>
    <row r="47" spans="1:4" x14ac:dyDescent="0.3">
      <c r="A47" t="s">
        <v>105</v>
      </c>
      <c r="B47" s="20">
        <v>1507</v>
      </c>
      <c r="C47" s="19">
        <v>0.32</v>
      </c>
      <c r="D47" s="18">
        <f>B47*(1-C47)</f>
        <v>1024.76</v>
      </c>
    </row>
    <row r="48" spans="1:4" x14ac:dyDescent="0.3">
      <c r="A48" t="s">
        <v>104</v>
      </c>
      <c r="B48" s="20">
        <v>1577</v>
      </c>
      <c r="C48" s="19">
        <v>0.32</v>
      </c>
      <c r="D48" s="18">
        <f>B48*(1-C48)</f>
        <v>1072.3599999999999</v>
      </c>
    </row>
    <row r="49" spans="1:5" x14ac:dyDescent="0.3">
      <c r="A49" t="s">
        <v>103</v>
      </c>
      <c r="B49" s="20">
        <v>1766</v>
      </c>
      <c r="C49" s="19">
        <v>0.32</v>
      </c>
      <c r="D49" s="18">
        <f>B49*(1-C49)</f>
        <v>1200.8799999999999</v>
      </c>
    </row>
    <row r="50" spans="1:5" x14ac:dyDescent="0.3">
      <c r="A50" t="s">
        <v>102</v>
      </c>
      <c r="B50" s="20">
        <v>2024</v>
      </c>
      <c r="C50" s="19">
        <v>0.32</v>
      </c>
      <c r="D50" s="18">
        <f>B50*(1-C50)</f>
        <v>1376.32</v>
      </c>
    </row>
    <row r="51" spans="1:5" x14ac:dyDescent="0.3">
      <c r="A51" t="s">
        <v>101</v>
      </c>
      <c r="B51" s="20">
        <v>2648</v>
      </c>
      <c r="C51" s="19">
        <v>0.32</v>
      </c>
      <c r="D51" s="18">
        <f>B51*(1-C51)</f>
        <v>1800.6399999999999</v>
      </c>
    </row>
    <row r="52" spans="1:5" x14ac:dyDescent="0.3">
      <c r="A52" t="s">
        <v>100</v>
      </c>
      <c r="B52" s="20">
        <v>2742</v>
      </c>
      <c r="C52" s="19">
        <v>0.32</v>
      </c>
      <c r="D52" s="18">
        <f>B52*(1-C52)</f>
        <v>1864.5599999999997</v>
      </c>
    </row>
    <row r="53" spans="1:5" x14ac:dyDescent="0.3">
      <c r="A53" t="s">
        <v>99</v>
      </c>
      <c r="B53" s="20">
        <v>3190</v>
      </c>
      <c r="C53" s="19">
        <v>0.32</v>
      </c>
      <c r="D53" s="18">
        <f>B53*(1-C53)</f>
        <v>2169.1999999999998</v>
      </c>
    </row>
    <row r="54" spans="1:5" x14ac:dyDescent="0.3">
      <c r="A54" t="s">
        <v>98</v>
      </c>
      <c r="B54" s="20">
        <v>4120</v>
      </c>
      <c r="C54" s="19">
        <v>0.32</v>
      </c>
      <c r="D54" s="18">
        <f>B54*(1-C54)</f>
        <v>2801.6</v>
      </c>
    </row>
    <row r="55" spans="1:5" x14ac:dyDescent="0.3">
      <c r="A55" t="s">
        <v>97</v>
      </c>
      <c r="B55" s="20">
        <v>4449</v>
      </c>
      <c r="C55" s="19">
        <v>0.32</v>
      </c>
      <c r="D55" s="18">
        <f>B55*(1-C55)</f>
        <v>3025.3199999999997</v>
      </c>
    </row>
    <row r="56" spans="1:5" x14ac:dyDescent="0.3">
      <c r="A56" t="s">
        <v>96</v>
      </c>
      <c r="B56" s="20">
        <v>5029</v>
      </c>
      <c r="C56" s="19">
        <v>0.32</v>
      </c>
      <c r="D56" s="18">
        <f>B56*(1-C56)</f>
        <v>3419.72</v>
      </c>
    </row>
    <row r="57" spans="1:5" x14ac:dyDescent="0.3">
      <c r="A57" t="s">
        <v>95</v>
      </c>
      <c r="B57" s="20">
        <v>6238</v>
      </c>
      <c r="C57" s="19">
        <v>0.32</v>
      </c>
      <c r="D57" s="18">
        <f>B57*(1-C57)</f>
        <v>4241.8399999999992</v>
      </c>
    </row>
    <row r="58" spans="1:5" x14ac:dyDescent="0.3">
      <c r="A58" t="s">
        <v>94</v>
      </c>
      <c r="B58" s="20">
        <v>8346</v>
      </c>
      <c r="C58" s="19">
        <v>0.32</v>
      </c>
      <c r="D58" s="18">
        <f>B58*(1-C58)</f>
        <v>5675.28</v>
      </c>
    </row>
    <row r="61" spans="1:5" ht="33.6" x14ac:dyDescent="0.65">
      <c r="A61" s="23" t="s">
        <v>93</v>
      </c>
    </row>
    <row r="62" spans="1:5" x14ac:dyDescent="0.3">
      <c r="A62" s="22" t="s">
        <v>92</v>
      </c>
      <c r="B62" s="22" t="s">
        <v>91</v>
      </c>
      <c r="C62" s="22" t="s">
        <v>90</v>
      </c>
      <c r="D62" s="22" t="s">
        <v>89</v>
      </c>
      <c r="E62" s="21" t="s">
        <v>88</v>
      </c>
    </row>
    <row r="63" spans="1:5" x14ac:dyDescent="0.3">
      <c r="A63" t="s">
        <v>86</v>
      </c>
      <c r="B63" t="s">
        <v>87</v>
      </c>
      <c r="C63" s="20">
        <v>64</v>
      </c>
      <c r="D63" s="19">
        <v>0.32</v>
      </c>
      <c r="E63" s="18">
        <f>C63*(1-D63)</f>
        <v>43.519999999999996</v>
      </c>
    </row>
    <row r="64" spans="1:5" x14ac:dyDescent="0.3">
      <c r="A64" t="s">
        <v>86</v>
      </c>
      <c r="B64" t="s">
        <v>85</v>
      </c>
      <c r="C64" s="20">
        <v>64</v>
      </c>
      <c r="D64" s="19">
        <v>0.32</v>
      </c>
      <c r="E64" s="18">
        <f>C64*(1-D64)</f>
        <v>43.519999999999996</v>
      </c>
    </row>
    <row r="65" spans="1:5" x14ac:dyDescent="0.3">
      <c r="A65" t="s">
        <v>84</v>
      </c>
      <c r="B65" t="s">
        <v>83</v>
      </c>
      <c r="C65" s="20">
        <v>72</v>
      </c>
      <c r="D65" s="19">
        <v>0.32</v>
      </c>
      <c r="E65" s="18">
        <f>C65*(1-D65)</f>
        <v>48.959999999999994</v>
      </c>
    </row>
    <row r="66" spans="1:5" x14ac:dyDescent="0.3">
      <c r="A66" t="s">
        <v>82</v>
      </c>
      <c r="B66" t="s">
        <v>81</v>
      </c>
      <c r="C66" s="20">
        <v>92</v>
      </c>
      <c r="D66" s="19">
        <v>0.32</v>
      </c>
      <c r="E66" s="18">
        <f>C66*(1-D66)</f>
        <v>62.559999999999995</v>
      </c>
    </row>
    <row r="67" spans="1:5" x14ac:dyDescent="0.3">
      <c r="A67" t="s">
        <v>80</v>
      </c>
      <c r="B67" t="s">
        <v>79</v>
      </c>
      <c r="C67" s="20">
        <v>119</v>
      </c>
      <c r="D67" s="19">
        <v>0.32</v>
      </c>
      <c r="E67" s="18">
        <f>C67*(1-D67)</f>
        <v>80.919999999999987</v>
      </c>
    </row>
    <row r="68" spans="1:5" x14ac:dyDescent="0.3">
      <c r="A68" t="s">
        <v>78</v>
      </c>
      <c r="B68" t="s">
        <v>77</v>
      </c>
      <c r="C68" s="20">
        <v>168</v>
      </c>
      <c r="D68" s="19">
        <v>0.32</v>
      </c>
      <c r="E68" s="18">
        <f>C68*(1-D68)</f>
        <v>114.24</v>
      </c>
    </row>
    <row r="69" spans="1:5" x14ac:dyDescent="0.3">
      <c r="A69" t="s">
        <v>76</v>
      </c>
      <c r="B69" t="s">
        <v>75</v>
      </c>
      <c r="C69" s="20">
        <v>219</v>
      </c>
      <c r="D69" s="19">
        <v>0.32</v>
      </c>
      <c r="E69" s="18">
        <f>C69*(1-D69)</f>
        <v>148.91999999999999</v>
      </c>
    </row>
    <row r="70" spans="1:5" x14ac:dyDescent="0.3">
      <c r="A70" t="s">
        <v>74</v>
      </c>
      <c r="B70" t="s">
        <v>73</v>
      </c>
      <c r="C70" s="20">
        <v>251</v>
      </c>
      <c r="D70" s="19">
        <v>0.32</v>
      </c>
      <c r="E70" s="18">
        <f>C70*(1-D70)</f>
        <v>170.67999999999998</v>
      </c>
    </row>
    <row r="71" spans="1:5" x14ac:dyDescent="0.3">
      <c r="A71" t="s">
        <v>72</v>
      </c>
      <c r="B71" t="s">
        <v>71</v>
      </c>
      <c r="C71" s="20">
        <v>332</v>
      </c>
      <c r="D71" s="19">
        <v>0.32</v>
      </c>
      <c r="E71" s="18">
        <f>C71*(1-D71)</f>
        <v>225.76</v>
      </c>
    </row>
    <row r="72" spans="1:5" x14ac:dyDescent="0.3">
      <c r="A72" t="s">
        <v>70</v>
      </c>
      <c r="B72" t="s">
        <v>69</v>
      </c>
      <c r="C72" s="20">
        <v>353</v>
      </c>
      <c r="D72" s="19">
        <v>0.32</v>
      </c>
      <c r="E72" s="18">
        <f>C72*(1-D72)</f>
        <v>240.04</v>
      </c>
    </row>
    <row r="73" spans="1:5" x14ac:dyDescent="0.3">
      <c r="A73" t="s">
        <v>68</v>
      </c>
      <c r="B73" t="s">
        <v>67</v>
      </c>
      <c r="C73" s="20">
        <v>418</v>
      </c>
      <c r="D73" s="19">
        <v>0.32</v>
      </c>
      <c r="E73" s="18">
        <f>C73*(1-D73)</f>
        <v>284.23999999999995</v>
      </c>
    </row>
    <row r="74" spans="1:5" x14ac:dyDescent="0.3">
      <c r="A74" t="s">
        <v>66</v>
      </c>
      <c r="B74" t="s">
        <v>65</v>
      </c>
      <c r="C74" s="20">
        <v>624</v>
      </c>
      <c r="D74" s="19">
        <v>0.32</v>
      </c>
      <c r="E74" s="18">
        <f>C74*(1-D74)</f>
        <v>424.31999999999994</v>
      </c>
    </row>
    <row r="75" spans="1:5" x14ac:dyDescent="0.3">
      <c r="A75" t="s">
        <v>64</v>
      </c>
      <c r="B75" t="s">
        <v>63</v>
      </c>
      <c r="C75" s="20">
        <v>728</v>
      </c>
      <c r="D75" s="19">
        <v>0.32</v>
      </c>
      <c r="E75" s="18">
        <f>C75*(1-D75)</f>
        <v>495.03999999999996</v>
      </c>
    </row>
    <row r="76" spans="1:5" x14ac:dyDescent="0.3">
      <c r="A76" t="s">
        <v>62</v>
      </c>
      <c r="B76" t="s">
        <v>61</v>
      </c>
      <c r="C76" s="20">
        <v>812</v>
      </c>
      <c r="D76" s="19">
        <v>0.32</v>
      </c>
      <c r="E76" s="18">
        <f>C76*(1-D76)</f>
        <v>552.16</v>
      </c>
    </row>
    <row r="77" spans="1:5" x14ac:dyDescent="0.3">
      <c r="A77" t="s">
        <v>60</v>
      </c>
      <c r="B77" t="s">
        <v>59</v>
      </c>
      <c r="C77" s="20">
        <v>973</v>
      </c>
      <c r="D77" s="19">
        <v>0.32</v>
      </c>
      <c r="E77" s="18">
        <f>C77*(1-D77)</f>
        <v>661.64</v>
      </c>
    </row>
    <row r="78" spans="1:5" x14ac:dyDescent="0.3">
      <c r="A78" t="s">
        <v>58</v>
      </c>
      <c r="B78" t="s">
        <v>57</v>
      </c>
      <c r="C78" s="20">
        <v>1038</v>
      </c>
      <c r="D78" s="19">
        <v>0.32</v>
      </c>
      <c r="E78" s="18">
        <f>C78*(1-D78)</f>
        <v>705.83999999999992</v>
      </c>
    </row>
    <row r="79" spans="1:5" x14ac:dyDescent="0.3">
      <c r="A79" t="s">
        <v>56</v>
      </c>
      <c r="B79" t="s">
        <v>55</v>
      </c>
      <c r="C79" s="20">
        <v>1498</v>
      </c>
      <c r="D79" s="19">
        <v>0.32</v>
      </c>
      <c r="E79" s="18">
        <f>C79*(1-D79)</f>
        <v>1018.6399999999999</v>
      </c>
    </row>
    <row r="80" spans="1:5" x14ac:dyDescent="0.3">
      <c r="A80" t="s">
        <v>54</v>
      </c>
      <c r="B80" t="s">
        <v>53</v>
      </c>
      <c r="C80" s="20">
        <v>2140</v>
      </c>
      <c r="D80" s="19">
        <v>0.32</v>
      </c>
      <c r="E80" s="18">
        <f>C80*(1-D80)</f>
        <v>1455.1999999999998</v>
      </c>
    </row>
    <row r="81" spans="1:5" x14ac:dyDescent="0.3">
      <c r="A81" t="s">
        <v>52</v>
      </c>
      <c r="B81" t="s">
        <v>51</v>
      </c>
      <c r="C81" s="20">
        <v>2943</v>
      </c>
      <c r="D81" s="19">
        <v>0.32</v>
      </c>
      <c r="E81" s="18">
        <f>C81*(1-D81)</f>
        <v>2001.2399999999998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F625-55B7-4574-B076-428ABF1F0450}">
  <sheetPr>
    <pageSetUpPr fitToPage="1"/>
  </sheetPr>
  <dimension ref="B2:N14"/>
  <sheetViews>
    <sheetView view="pageLayout" zoomScaleNormal="100" workbookViewId="0">
      <selection activeCell="A9" sqref="A9:XFD9"/>
    </sheetView>
  </sheetViews>
  <sheetFormatPr defaultColWidth="9.109375" defaultRowHeight="14.4" x14ac:dyDescent="0.3"/>
  <cols>
    <col min="1" max="1" width="9.109375" style="2"/>
    <col min="2" max="2" width="6" style="5" customWidth="1"/>
    <col min="3" max="3" width="35.6640625" style="8" customWidth="1"/>
    <col min="4" max="4" width="6.6640625" style="5" customWidth="1"/>
    <col min="5" max="5" width="24.5546875" style="5" customWidth="1"/>
    <col min="6" max="6" width="8.109375" style="5" customWidth="1"/>
    <col min="7" max="7" width="7.88671875" style="5" customWidth="1"/>
    <col min="8" max="8" width="9.88671875" style="5" customWidth="1"/>
    <col min="9" max="9" width="13.5546875" style="5" customWidth="1"/>
    <col min="10" max="10" width="8.88671875" style="5" customWidth="1"/>
    <col min="11" max="11" width="11.5546875" style="13" customWidth="1"/>
    <col min="12" max="16" width="9.109375" style="2"/>
    <col min="17" max="17" width="8.5546875" style="2" customWidth="1"/>
    <col min="18" max="16384" width="9.109375" style="2"/>
  </cols>
  <sheetData>
    <row r="2" spans="2:14" ht="32.25" customHeight="1" x14ac:dyDescent="0.3">
      <c r="B2" s="1" t="s">
        <v>0</v>
      </c>
      <c r="C2" s="6" t="s">
        <v>1</v>
      </c>
      <c r="D2" s="1" t="s">
        <v>4</v>
      </c>
      <c r="E2" s="1" t="s">
        <v>10</v>
      </c>
      <c r="F2" s="10" t="s">
        <v>11</v>
      </c>
      <c r="G2" s="1" t="s">
        <v>8</v>
      </c>
      <c r="H2" s="1" t="s">
        <v>9</v>
      </c>
      <c r="I2" s="10" t="s">
        <v>12</v>
      </c>
      <c r="J2" s="10" t="s">
        <v>2</v>
      </c>
      <c r="K2" s="11" t="s">
        <v>5</v>
      </c>
    </row>
    <row r="3" spans="2:14" ht="32.25" customHeight="1" x14ac:dyDescent="0.3">
      <c r="B3" s="1"/>
      <c r="C3" s="7" t="s">
        <v>43</v>
      </c>
      <c r="D3" s="1" t="s">
        <v>7</v>
      </c>
      <c r="E3" s="1">
        <v>90</v>
      </c>
      <c r="F3" s="10">
        <v>23</v>
      </c>
      <c r="G3" s="1">
        <v>22.1</v>
      </c>
      <c r="H3" s="1">
        <v>57</v>
      </c>
      <c r="I3" s="10">
        <f>F3*E3</f>
        <v>2070</v>
      </c>
      <c r="J3" s="15">
        <f>G3-(G3*H3/100)</f>
        <v>9.5030000000000001</v>
      </c>
      <c r="K3" s="11">
        <f>J3*I3</f>
        <v>19671.21</v>
      </c>
    </row>
    <row r="4" spans="2:14" ht="28.8" x14ac:dyDescent="0.3">
      <c r="B4" s="1">
        <v>1</v>
      </c>
      <c r="C4" s="7" t="s">
        <v>44</v>
      </c>
      <c r="D4" s="1" t="s">
        <v>7</v>
      </c>
      <c r="E4" s="1">
        <v>90</v>
      </c>
      <c r="F4" s="1">
        <v>50</v>
      </c>
      <c r="G4" s="1">
        <v>28.93</v>
      </c>
      <c r="H4" s="1">
        <v>57</v>
      </c>
      <c r="I4" s="10">
        <f t="shared" ref="I4:I10" si="0">F4*E4</f>
        <v>4500</v>
      </c>
      <c r="J4" s="15">
        <f t="shared" ref="J4:J10" si="1">G4-(G4*H4/100)</f>
        <v>12.439900000000002</v>
      </c>
      <c r="K4" s="11">
        <f t="shared" ref="K4:K10" si="2">J4*I4</f>
        <v>55979.55000000001</v>
      </c>
      <c r="N4" s="2">
        <f>25.46-M4</f>
        <v>25.46</v>
      </c>
    </row>
    <row r="5" spans="2:14" ht="28.8" x14ac:dyDescent="0.3">
      <c r="B5" s="1">
        <v>2</v>
      </c>
      <c r="C5" s="7" t="s">
        <v>45</v>
      </c>
      <c r="D5" s="1" t="s">
        <v>7</v>
      </c>
      <c r="E5" s="1">
        <v>90</v>
      </c>
      <c r="F5" s="1">
        <v>37</v>
      </c>
      <c r="G5" s="1">
        <v>40.909999999999997</v>
      </c>
      <c r="H5" s="1">
        <v>57</v>
      </c>
      <c r="I5" s="10">
        <f t="shared" si="0"/>
        <v>3330</v>
      </c>
      <c r="J5" s="15">
        <f t="shared" si="1"/>
        <v>17.591299999999997</v>
      </c>
      <c r="K5" s="11">
        <f t="shared" si="2"/>
        <v>58579.028999999988</v>
      </c>
      <c r="N5" s="2">
        <f>36.01-M5</f>
        <v>36.01</v>
      </c>
    </row>
    <row r="6" spans="2:14" ht="28.8" x14ac:dyDescent="0.3">
      <c r="B6" s="1">
        <v>3</v>
      </c>
      <c r="C6" s="7" t="s">
        <v>46</v>
      </c>
      <c r="D6" s="1" t="s">
        <v>7</v>
      </c>
      <c r="E6" s="1">
        <v>90</v>
      </c>
      <c r="F6" s="1">
        <v>23</v>
      </c>
      <c r="G6" s="1">
        <v>67.069999999999993</v>
      </c>
      <c r="H6" s="1">
        <v>57</v>
      </c>
      <c r="I6" s="10">
        <f t="shared" si="0"/>
        <v>2070</v>
      </c>
      <c r="J6" s="15">
        <f t="shared" si="1"/>
        <v>28.840099999999993</v>
      </c>
      <c r="K6" s="11">
        <f t="shared" si="2"/>
        <v>59699.006999999983</v>
      </c>
      <c r="N6" s="2">
        <f>59.03-M6</f>
        <v>59.03</v>
      </c>
    </row>
    <row r="7" spans="2:14" ht="28.8" x14ac:dyDescent="0.3">
      <c r="B7" s="1">
        <v>4</v>
      </c>
      <c r="C7" s="7" t="s">
        <v>47</v>
      </c>
      <c r="D7" s="1" t="s">
        <v>7</v>
      </c>
      <c r="E7" s="1">
        <v>90</v>
      </c>
      <c r="F7" s="1">
        <v>43</v>
      </c>
      <c r="G7" s="1">
        <v>105.17</v>
      </c>
      <c r="H7" s="1">
        <v>57</v>
      </c>
      <c r="I7" s="10">
        <f t="shared" si="0"/>
        <v>3870</v>
      </c>
      <c r="J7" s="15">
        <f t="shared" si="1"/>
        <v>45.223099999999995</v>
      </c>
      <c r="K7" s="11">
        <f t="shared" si="2"/>
        <v>175013.39699999997</v>
      </c>
    </row>
    <row r="8" spans="2:14" ht="28.8" x14ac:dyDescent="0.3">
      <c r="B8" s="1">
        <v>5</v>
      </c>
      <c r="C8" s="7" t="s">
        <v>48</v>
      </c>
      <c r="D8" s="1" t="s">
        <v>7</v>
      </c>
      <c r="E8" s="1">
        <v>90</v>
      </c>
      <c r="F8" s="1">
        <v>19</v>
      </c>
      <c r="G8" s="1">
        <v>156.03</v>
      </c>
      <c r="H8" s="1">
        <v>57</v>
      </c>
      <c r="I8" s="10">
        <f t="shared" si="0"/>
        <v>1710</v>
      </c>
      <c r="J8" s="15">
        <f t="shared" si="1"/>
        <v>67.092899999999986</v>
      </c>
      <c r="K8" s="11">
        <f t="shared" si="2"/>
        <v>114728.85899999998</v>
      </c>
    </row>
    <row r="9" spans="2:14" x14ac:dyDescent="0.3">
      <c r="B9" s="1">
        <v>8</v>
      </c>
      <c r="C9" s="7" t="s">
        <v>16</v>
      </c>
      <c r="D9" s="1" t="s">
        <v>7</v>
      </c>
      <c r="E9" s="1">
        <v>305</v>
      </c>
      <c r="F9" s="1">
        <v>4</v>
      </c>
      <c r="G9" s="1">
        <v>47.7</v>
      </c>
      <c r="H9" s="1">
        <v>40</v>
      </c>
      <c r="I9" s="10">
        <f t="shared" si="0"/>
        <v>1220</v>
      </c>
      <c r="J9" s="15">
        <f t="shared" si="1"/>
        <v>28.620000000000005</v>
      </c>
      <c r="K9" s="11">
        <f t="shared" si="2"/>
        <v>34916.400000000009</v>
      </c>
    </row>
    <row r="10" spans="2:14" ht="28.8" x14ac:dyDescent="0.3">
      <c r="B10" s="1">
        <v>9</v>
      </c>
      <c r="C10" s="7" t="s">
        <v>13</v>
      </c>
      <c r="D10" s="1" t="s">
        <v>7</v>
      </c>
      <c r="E10" s="1">
        <v>305</v>
      </c>
      <c r="F10" s="1">
        <v>4</v>
      </c>
      <c r="G10" s="1">
        <v>23.08</v>
      </c>
      <c r="H10" s="1">
        <v>40</v>
      </c>
      <c r="I10" s="10">
        <f t="shared" si="0"/>
        <v>1220</v>
      </c>
      <c r="J10" s="15">
        <f t="shared" si="1"/>
        <v>13.847999999999999</v>
      </c>
      <c r="K10" s="11">
        <f t="shared" si="2"/>
        <v>16894.559999999998</v>
      </c>
    </row>
    <row r="11" spans="2:14" x14ac:dyDescent="0.3">
      <c r="B11" s="1"/>
      <c r="C11" s="7" t="s">
        <v>6</v>
      </c>
      <c r="D11" s="10"/>
      <c r="E11" s="10"/>
      <c r="F11" s="10"/>
      <c r="G11" s="10"/>
      <c r="H11" s="10"/>
      <c r="I11" s="10"/>
      <c r="J11" s="3"/>
      <c r="K11" s="14">
        <f>SUM(K3:K10)</f>
        <v>535482.01199999999</v>
      </c>
    </row>
    <row r="12" spans="2:14" x14ac:dyDescent="0.3">
      <c r="B12" s="3"/>
      <c r="C12" s="6" t="s">
        <v>3</v>
      </c>
      <c r="D12" s="1"/>
      <c r="E12" s="1"/>
      <c r="F12" s="1"/>
      <c r="G12" s="1"/>
      <c r="H12" s="1"/>
      <c r="I12" s="1"/>
      <c r="J12" s="3"/>
      <c r="K12" s="12">
        <f>K11*18/100</f>
        <v>96386.762159999998</v>
      </c>
    </row>
    <row r="13" spans="2:14" x14ac:dyDescent="0.3">
      <c r="B13" s="3"/>
      <c r="C13" s="9"/>
      <c r="D13" s="3"/>
      <c r="E13" s="3"/>
      <c r="F13" s="3"/>
      <c r="G13" s="3"/>
      <c r="H13" s="3"/>
      <c r="I13" s="3"/>
      <c r="J13" s="3"/>
      <c r="K13" s="16">
        <f>SUM(K11:K12)</f>
        <v>631868.77416000003</v>
      </c>
    </row>
    <row r="14" spans="2:14" x14ac:dyDescent="0.3">
      <c r="B14" s="3"/>
      <c r="C14" s="9"/>
      <c r="D14" s="3"/>
      <c r="E14" s="3"/>
      <c r="F14" s="3"/>
      <c r="G14" s="3"/>
      <c r="H14" s="3"/>
      <c r="I14" s="3"/>
      <c r="J14" s="3"/>
      <c r="K14" s="16"/>
    </row>
  </sheetData>
  <pageMargins left="0.70866141732283472" right="0.70866141732283472" top="0.74803149606299213" bottom="0.74803149606299213" header="0.31496062992125984" footer="0.31496062992125984"/>
  <pageSetup paperSize="9" scale="77" orientation="landscape" horizontalDpi="0" verticalDpi="0" r:id="rId1"/>
  <headerFooter>
    <oddHeader xml:space="preserve">&amp;C&amp;36RR Q1 90 METER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7291-E580-4720-946E-E71433699FEA}">
  <sheetPr>
    <pageSetUpPr fitToPage="1"/>
  </sheetPr>
  <dimension ref="B2:L20"/>
  <sheetViews>
    <sheetView view="pageLayout" zoomScale="79" zoomScaleNormal="100" zoomScalePageLayoutView="79" workbookViewId="0">
      <selection activeCell="A9" sqref="A9:XFD9"/>
    </sheetView>
  </sheetViews>
  <sheetFormatPr defaultColWidth="9.109375" defaultRowHeight="14.4" x14ac:dyDescent="0.3"/>
  <cols>
    <col min="1" max="1" width="9.109375" style="2"/>
    <col min="2" max="2" width="6" style="5" customWidth="1"/>
    <col min="3" max="3" width="35.6640625" style="8" customWidth="1"/>
    <col min="4" max="4" width="6.6640625" style="5" customWidth="1"/>
    <col min="5" max="6" width="24.5546875" style="5" customWidth="1"/>
    <col min="7" max="7" width="8.109375" style="5" customWidth="1"/>
    <col min="8" max="8" width="7.88671875" style="5" customWidth="1"/>
    <col min="9" max="9" width="9.88671875" style="5" customWidth="1"/>
    <col min="10" max="10" width="13.5546875" style="5" customWidth="1"/>
    <col min="11" max="11" width="8.88671875" style="5" customWidth="1"/>
    <col min="12" max="12" width="11.5546875" style="13" customWidth="1"/>
    <col min="13" max="17" width="9.109375" style="2"/>
    <col min="18" max="18" width="8.5546875" style="2" customWidth="1"/>
    <col min="19" max="16384" width="9.109375" style="2"/>
  </cols>
  <sheetData>
    <row r="2" spans="2:12" ht="32.25" customHeight="1" x14ac:dyDescent="0.3">
      <c r="B2" s="1" t="s">
        <v>0</v>
      </c>
      <c r="C2" s="6" t="s">
        <v>1</v>
      </c>
      <c r="D2" s="1" t="s">
        <v>4</v>
      </c>
      <c r="E2" s="1" t="s">
        <v>10</v>
      </c>
      <c r="F2" s="1" t="s">
        <v>50</v>
      </c>
      <c r="G2" s="10" t="s">
        <v>11</v>
      </c>
      <c r="H2" s="1" t="s">
        <v>49</v>
      </c>
      <c r="I2" s="1" t="s">
        <v>9</v>
      </c>
      <c r="J2" s="10" t="s">
        <v>12</v>
      </c>
      <c r="K2" s="10" t="s">
        <v>2</v>
      </c>
      <c r="L2" s="11" t="s">
        <v>5</v>
      </c>
    </row>
    <row r="3" spans="2:12" ht="32.25" customHeight="1" x14ac:dyDescent="0.3">
      <c r="B3" s="1"/>
      <c r="C3" s="7" t="s">
        <v>36</v>
      </c>
      <c r="D3" s="1" t="s">
        <v>7</v>
      </c>
      <c r="E3" s="1">
        <v>200</v>
      </c>
      <c r="F3" s="1">
        <v>4430</v>
      </c>
      <c r="G3" s="10">
        <v>0</v>
      </c>
      <c r="H3" s="1">
        <f>F3/E3</f>
        <v>22.15</v>
      </c>
      <c r="I3" s="1">
        <v>60</v>
      </c>
      <c r="J3" s="10"/>
      <c r="K3" s="15">
        <f>H3-(H3*I3/100)</f>
        <v>8.86</v>
      </c>
      <c r="L3" s="11">
        <f t="shared" ref="L3:L12" si="0">K3*J3</f>
        <v>0</v>
      </c>
    </row>
    <row r="4" spans="2:12" ht="28.8" x14ac:dyDescent="0.3">
      <c r="B4" s="1">
        <v>1</v>
      </c>
      <c r="C4" s="7" t="s">
        <v>37</v>
      </c>
      <c r="D4" s="1" t="s">
        <v>7</v>
      </c>
      <c r="E4" s="1">
        <v>200</v>
      </c>
      <c r="F4" s="1">
        <v>5789</v>
      </c>
      <c r="G4" s="10">
        <v>0</v>
      </c>
      <c r="H4" s="1">
        <f t="shared" ref="H4:H10" si="1">F4/E4</f>
        <v>28.945</v>
      </c>
      <c r="I4" s="1">
        <v>60</v>
      </c>
      <c r="J4" s="10"/>
      <c r="K4" s="15">
        <f t="shared" ref="K4:K12" si="2">H4-(H4*I4/100)</f>
        <v>11.577999999999999</v>
      </c>
      <c r="L4" s="11">
        <f t="shared" si="0"/>
        <v>0</v>
      </c>
    </row>
    <row r="5" spans="2:12" ht="28.8" x14ac:dyDescent="0.3">
      <c r="B5" s="1">
        <v>2</v>
      </c>
      <c r="C5" s="7" t="s">
        <v>38</v>
      </c>
      <c r="D5" s="1" t="s">
        <v>7</v>
      </c>
      <c r="E5" s="1">
        <v>200</v>
      </c>
      <c r="F5" s="1">
        <v>8365</v>
      </c>
      <c r="G5" s="10">
        <v>0</v>
      </c>
      <c r="H5" s="1">
        <f t="shared" si="1"/>
        <v>41.825000000000003</v>
      </c>
      <c r="I5" s="1">
        <v>61</v>
      </c>
      <c r="J5" s="10">
        <v>1242</v>
      </c>
      <c r="K5" s="15">
        <f t="shared" si="2"/>
        <v>16.31175</v>
      </c>
      <c r="L5" s="14">
        <f t="shared" si="0"/>
        <v>20259.193500000001</v>
      </c>
    </row>
    <row r="6" spans="2:12" ht="28.8" x14ac:dyDescent="0.3">
      <c r="B6" s="1">
        <v>3</v>
      </c>
      <c r="C6" s="7" t="s">
        <v>39</v>
      </c>
      <c r="D6" s="1" t="s">
        <v>7</v>
      </c>
      <c r="E6" s="1">
        <v>200</v>
      </c>
      <c r="F6" s="1">
        <v>13631</v>
      </c>
      <c r="G6" s="10">
        <v>0</v>
      </c>
      <c r="H6" s="1">
        <f t="shared" si="1"/>
        <v>68.155000000000001</v>
      </c>
      <c r="I6" s="1">
        <v>61</v>
      </c>
      <c r="J6" s="10">
        <v>414</v>
      </c>
      <c r="K6" s="15">
        <f t="shared" si="2"/>
        <v>26.580449999999999</v>
      </c>
      <c r="L6" s="14">
        <f t="shared" si="0"/>
        <v>11004.3063</v>
      </c>
    </row>
    <row r="7" spans="2:12" ht="28.8" x14ac:dyDescent="0.3">
      <c r="B7" s="1">
        <v>4</v>
      </c>
      <c r="C7" s="7" t="s">
        <v>40</v>
      </c>
      <c r="D7" s="1" t="s">
        <v>7</v>
      </c>
      <c r="E7" s="1">
        <v>200</v>
      </c>
      <c r="F7" s="1">
        <v>20952</v>
      </c>
      <c r="G7" s="10">
        <v>0</v>
      </c>
      <c r="H7" s="1">
        <f t="shared" si="1"/>
        <v>104.76</v>
      </c>
      <c r="I7" s="1">
        <v>61</v>
      </c>
      <c r="J7" s="10">
        <v>679</v>
      </c>
      <c r="K7" s="15">
        <f t="shared" si="2"/>
        <v>40.856400000000001</v>
      </c>
      <c r="L7" s="14">
        <f t="shared" si="0"/>
        <v>27741.495600000002</v>
      </c>
    </row>
    <row r="8" spans="2:12" ht="28.8" x14ac:dyDescent="0.3">
      <c r="B8" s="1">
        <v>5</v>
      </c>
      <c r="C8" s="7" t="s">
        <v>41</v>
      </c>
      <c r="D8" s="1" t="s">
        <v>7</v>
      </c>
      <c r="E8" s="1">
        <v>200</v>
      </c>
      <c r="F8" s="1">
        <v>31079</v>
      </c>
      <c r="G8" s="10">
        <v>0</v>
      </c>
      <c r="H8" s="1">
        <f t="shared" si="1"/>
        <v>155.39500000000001</v>
      </c>
      <c r="I8" s="1">
        <v>60</v>
      </c>
      <c r="J8" s="10"/>
      <c r="K8" s="15">
        <f t="shared" si="2"/>
        <v>62.158000000000001</v>
      </c>
      <c r="L8" s="11">
        <f t="shared" si="0"/>
        <v>0</v>
      </c>
    </row>
    <row r="9" spans="2:12" ht="28.8" x14ac:dyDescent="0.3">
      <c r="B9" s="1">
        <v>6</v>
      </c>
      <c r="C9" s="7" t="s">
        <v>14</v>
      </c>
      <c r="D9" s="1" t="s">
        <v>7</v>
      </c>
      <c r="E9" s="1">
        <v>100</v>
      </c>
      <c r="F9" s="1"/>
      <c r="G9" s="10">
        <v>0</v>
      </c>
      <c r="H9" s="1">
        <f t="shared" si="1"/>
        <v>0</v>
      </c>
      <c r="I9" s="4">
        <v>58</v>
      </c>
      <c r="J9" s="10"/>
      <c r="K9" s="15">
        <f t="shared" si="2"/>
        <v>0</v>
      </c>
      <c r="L9" s="11">
        <f t="shared" si="0"/>
        <v>0</v>
      </c>
    </row>
    <row r="10" spans="2:12" ht="28.8" x14ac:dyDescent="0.3">
      <c r="B10" s="1">
        <v>7</v>
      </c>
      <c r="C10" s="7" t="s">
        <v>15</v>
      </c>
      <c r="D10" s="1" t="s">
        <v>7</v>
      </c>
      <c r="E10" s="1">
        <v>100</v>
      </c>
      <c r="F10" s="1"/>
      <c r="G10" s="10">
        <v>0</v>
      </c>
      <c r="H10" s="1">
        <f t="shared" si="1"/>
        <v>0</v>
      </c>
      <c r="I10" s="4">
        <v>58</v>
      </c>
      <c r="J10" s="10"/>
      <c r="K10" s="15">
        <f t="shared" si="2"/>
        <v>0</v>
      </c>
      <c r="L10" s="11">
        <f t="shared" si="0"/>
        <v>0</v>
      </c>
    </row>
    <row r="11" spans="2:12" x14ac:dyDescent="0.3">
      <c r="B11" s="1">
        <v>8</v>
      </c>
      <c r="C11" s="7" t="s">
        <v>16</v>
      </c>
      <c r="D11" s="1" t="s">
        <v>7</v>
      </c>
      <c r="E11" s="1">
        <v>305</v>
      </c>
      <c r="F11" s="1"/>
      <c r="G11" s="10">
        <v>0</v>
      </c>
      <c r="H11" s="1">
        <v>47.7</v>
      </c>
      <c r="I11" s="1">
        <v>40</v>
      </c>
      <c r="J11" s="10"/>
      <c r="K11" s="15">
        <f t="shared" si="2"/>
        <v>28.620000000000005</v>
      </c>
      <c r="L11" s="11">
        <f t="shared" si="0"/>
        <v>0</v>
      </c>
    </row>
    <row r="12" spans="2:12" ht="28.8" x14ac:dyDescent="0.3">
      <c r="B12" s="1">
        <v>9</v>
      </c>
      <c r="C12" s="7" t="s">
        <v>13</v>
      </c>
      <c r="D12" s="1" t="s">
        <v>7</v>
      </c>
      <c r="E12" s="1">
        <v>305</v>
      </c>
      <c r="F12" s="1"/>
      <c r="G12" s="10">
        <v>0</v>
      </c>
      <c r="H12" s="1">
        <v>23.08</v>
      </c>
      <c r="I12" s="1">
        <v>40</v>
      </c>
      <c r="J12" s="10"/>
      <c r="K12" s="15">
        <f t="shared" si="2"/>
        <v>13.847999999999999</v>
      </c>
      <c r="L12" s="11">
        <f t="shared" si="0"/>
        <v>0</v>
      </c>
    </row>
    <row r="13" spans="2:12" x14ac:dyDescent="0.3">
      <c r="B13" s="1"/>
      <c r="C13" s="7" t="s">
        <v>6</v>
      </c>
      <c r="D13" s="10"/>
      <c r="E13" s="10"/>
      <c r="F13" s="10"/>
      <c r="G13" s="10">
        <v>0</v>
      </c>
      <c r="H13" s="10"/>
      <c r="I13" s="10"/>
      <c r="J13" s="10"/>
      <c r="K13" s="3"/>
      <c r="L13" s="14">
        <f>SUM(L3:L12)</f>
        <v>59004.9954</v>
      </c>
    </row>
    <row r="14" spans="2:12" x14ac:dyDescent="0.3">
      <c r="B14" s="3"/>
      <c r="C14" s="6" t="s">
        <v>42</v>
      </c>
      <c r="D14" s="1"/>
      <c r="E14" s="1"/>
      <c r="F14" s="1"/>
      <c r="G14" s="10">
        <v>0</v>
      </c>
      <c r="H14" s="1"/>
      <c r="I14" s="1"/>
      <c r="J14" s="10"/>
      <c r="K14" s="3"/>
      <c r="L14" s="12">
        <f>L13*18/100</f>
        <v>10620.899171999999</v>
      </c>
    </row>
    <row r="15" spans="2:12" x14ac:dyDescent="0.3">
      <c r="B15" s="3"/>
      <c r="C15" s="9"/>
      <c r="D15" s="3"/>
      <c r="E15" s="3"/>
      <c r="F15" s="3"/>
      <c r="G15" s="10">
        <v>0</v>
      </c>
      <c r="H15" s="3"/>
      <c r="I15" s="3"/>
      <c r="J15" s="10"/>
      <c r="K15" s="3"/>
      <c r="L15" s="16">
        <f>SUM(L13:L14)</f>
        <v>69625.894572000005</v>
      </c>
    </row>
    <row r="16" spans="2:12" x14ac:dyDescent="0.3">
      <c r="B16" s="3"/>
      <c r="C16" s="9"/>
      <c r="D16" s="3"/>
      <c r="E16" s="3"/>
      <c r="F16" s="3"/>
      <c r="G16" s="3"/>
      <c r="H16" s="3"/>
      <c r="I16" s="3"/>
      <c r="J16" s="3"/>
      <c r="K16" s="3"/>
      <c r="L16" s="16"/>
    </row>
    <row r="20" spans="7:7" x14ac:dyDescent="0.3">
      <c r="G20" s="5">
        <v>0</v>
      </c>
    </row>
  </sheetData>
  <autoFilter ref="B2:L15" xr:uid="{69EC7291-E580-4720-946E-E71433699FEA}"/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  <headerFooter>
    <oddHeader xml:space="preserve">&amp;C&amp;36RR FRLSH 200 METER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55AE-9329-4ADB-AD22-4EA1FF113812}">
  <sheetPr>
    <pageSetUpPr fitToPage="1"/>
  </sheetPr>
  <dimension ref="B2:K16"/>
  <sheetViews>
    <sheetView view="pageLayout" zoomScale="79" zoomScaleNormal="100" zoomScalePageLayoutView="79" workbookViewId="0">
      <selection activeCell="A9" sqref="A9:XFD9"/>
    </sheetView>
  </sheetViews>
  <sheetFormatPr defaultColWidth="9.109375" defaultRowHeight="14.4" x14ac:dyDescent="0.3"/>
  <cols>
    <col min="1" max="1" width="9.109375" style="2"/>
    <col min="2" max="2" width="6" style="5" customWidth="1"/>
    <col min="3" max="3" width="35.6640625" style="8" customWidth="1"/>
    <col min="4" max="4" width="6.6640625" style="5" customWidth="1"/>
    <col min="5" max="5" width="24.5546875" style="5" customWidth="1"/>
    <col min="6" max="6" width="8.109375" style="5" customWidth="1"/>
    <col min="7" max="7" width="7.88671875" style="5" customWidth="1"/>
    <col min="8" max="8" width="9.88671875" style="5" customWidth="1"/>
    <col min="9" max="9" width="13.5546875" style="5" customWidth="1"/>
    <col min="10" max="10" width="8.88671875" style="5" customWidth="1"/>
    <col min="11" max="11" width="11.5546875" style="13" customWidth="1"/>
    <col min="12" max="16" width="9.109375" style="2"/>
    <col min="17" max="17" width="8.5546875" style="2" customWidth="1"/>
    <col min="18" max="16384" width="9.109375" style="2"/>
  </cols>
  <sheetData>
    <row r="2" spans="2:11" ht="32.25" customHeight="1" x14ac:dyDescent="0.3">
      <c r="B2" s="1" t="s">
        <v>0</v>
      </c>
      <c r="C2" s="6" t="s">
        <v>1</v>
      </c>
      <c r="D2" s="1" t="s">
        <v>4</v>
      </c>
      <c r="E2" s="1" t="s">
        <v>10</v>
      </c>
      <c r="F2" s="10" t="s">
        <v>11</v>
      </c>
      <c r="G2" s="1" t="s">
        <v>8</v>
      </c>
      <c r="H2" s="1" t="s">
        <v>9</v>
      </c>
      <c r="I2" s="10" t="s">
        <v>12</v>
      </c>
      <c r="J2" s="10" t="s">
        <v>2</v>
      </c>
      <c r="K2" s="11" t="s">
        <v>5</v>
      </c>
    </row>
    <row r="3" spans="2:11" ht="32.25" customHeight="1" x14ac:dyDescent="0.3">
      <c r="B3" s="1"/>
      <c r="C3" s="7" t="s">
        <v>19</v>
      </c>
      <c r="D3" s="1" t="s">
        <v>7</v>
      </c>
      <c r="E3" s="1">
        <v>200</v>
      </c>
      <c r="F3" s="10">
        <v>0</v>
      </c>
      <c r="G3" s="1">
        <v>22.1</v>
      </c>
      <c r="H3" s="1">
        <v>57</v>
      </c>
      <c r="I3" s="10">
        <f>F3*E3</f>
        <v>0</v>
      </c>
      <c r="J3" s="15">
        <f>G3-(G3*H3/100)</f>
        <v>9.5030000000000001</v>
      </c>
      <c r="K3" s="11">
        <f>J3*I3</f>
        <v>0</v>
      </c>
    </row>
    <row r="4" spans="2:11" ht="28.8" x14ac:dyDescent="0.3">
      <c r="B4" s="1">
        <v>1</v>
      </c>
      <c r="C4" s="7" t="s">
        <v>20</v>
      </c>
      <c r="D4" s="1" t="s">
        <v>7</v>
      </c>
      <c r="E4" s="1">
        <v>200</v>
      </c>
      <c r="F4" s="1">
        <v>50</v>
      </c>
      <c r="G4" s="1">
        <v>28.93</v>
      </c>
      <c r="H4" s="1">
        <v>57</v>
      </c>
      <c r="I4" s="10">
        <f t="shared" ref="I4:I12" si="0">F4*E4</f>
        <v>10000</v>
      </c>
      <c r="J4" s="15">
        <f t="shared" ref="J4:J12" si="1">G4-(G4*H4/100)</f>
        <v>12.439900000000002</v>
      </c>
      <c r="K4" s="11">
        <f t="shared" ref="K4:K12" si="2">J4*I4</f>
        <v>124399.00000000001</v>
      </c>
    </row>
    <row r="5" spans="2:11" ht="28.8" x14ac:dyDescent="0.3">
      <c r="B5" s="1">
        <v>2</v>
      </c>
      <c r="C5" s="7" t="s">
        <v>21</v>
      </c>
      <c r="D5" s="1" t="s">
        <v>7</v>
      </c>
      <c r="E5" s="1">
        <v>200</v>
      </c>
      <c r="F5" s="1">
        <v>37</v>
      </c>
      <c r="G5" s="1">
        <v>40.909999999999997</v>
      </c>
      <c r="H5" s="1">
        <v>57</v>
      </c>
      <c r="I5" s="10">
        <f t="shared" si="0"/>
        <v>7400</v>
      </c>
      <c r="J5" s="15">
        <f t="shared" si="1"/>
        <v>17.591299999999997</v>
      </c>
      <c r="K5" s="11">
        <f t="shared" si="2"/>
        <v>130175.61999999998</v>
      </c>
    </row>
    <row r="6" spans="2:11" ht="28.8" x14ac:dyDescent="0.3">
      <c r="B6" s="1">
        <v>3</v>
      </c>
      <c r="C6" s="7" t="s">
        <v>22</v>
      </c>
      <c r="D6" s="1" t="s">
        <v>7</v>
      </c>
      <c r="E6" s="1">
        <v>200</v>
      </c>
      <c r="F6" s="1">
        <v>23</v>
      </c>
      <c r="G6" s="1">
        <v>67.069999999999993</v>
      </c>
      <c r="H6" s="1">
        <v>57</v>
      </c>
      <c r="I6" s="10">
        <f t="shared" si="0"/>
        <v>4600</v>
      </c>
      <c r="J6" s="15">
        <f t="shared" si="1"/>
        <v>28.840099999999993</v>
      </c>
      <c r="K6" s="11">
        <f t="shared" si="2"/>
        <v>132664.45999999996</v>
      </c>
    </row>
    <row r="7" spans="2:11" ht="28.8" x14ac:dyDescent="0.3">
      <c r="B7" s="1">
        <v>4</v>
      </c>
      <c r="C7" s="7" t="s">
        <v>23</v>
      </c>
      <c r="D7" s="1" t="s">
        <v>7</v>
      </c>
      <c r="E7" s="1">
        <v>200</v>
      </c>
      <c r="F7" s="1">
        <v>43</v>
      </c>
      <c r="G7" s="1">
        <v>105.17</v>
      </c>
      <c r="H7" s="1">
        <v>57</v>
      </c>
      <c r="I7" s="10">
        <f t="shared" si="0"/>
        <v>8600</v>
      </c>
      <c r="J7" s="15">
        <f t="shared" si="1"/>
        <v>45.223099999999995</v>
      </c>
      <c r="K7" s="11">
        <f t="shared" si="2"/>
        <v>388918.66</v>
      </c>
    </row>
    <row r="8" spans="2:11" ht="28.8" x14ac:dyDescent="0.3">
      <c r="B8" s="1">
        <v>5</v>
      </c>
      <c r="C8" s="7" t="s">
        <v>24</v>
      </c>
      <c r="D8" s="1" t="s">
        <v>7</v>
      </c>
      <c r="E8" s="1">
        <v>200</v>
      </c>
      <c r="F8" s="1">
        <v>19</v>
      </c>
      <c r="G8" s="1">
        <v>156.03</v>
      </c>
      <c r="H8" s="1">
        <v>57</v>
      </c>
      <c r="I8" s="10">
        <f t="shared" si="0"/>
        <v>3800</v>
      </c>
      <c r="J8" s="15">
        <f t="shared" si="1"/>
        <v>67.092899999999986</v>
      </c>
      <c r="K8" s="11">
        <f t="shared" si="2"/>
        <v>254953.01999999996</v>
      </c>
    </row>
    <row r="9" spans="2:11" ht="28.8" x14ac:dyDescent="0.3">
      <c r="B9" s="1">
        <v>6</v>
      </c>
      <c r="C9" s="7" t="s">
        <v>17</v>
      </c>
      <c r="D9" s="1" t="s">
        <v>7</v>
      </c>
      <c r="E9" s="1">
        <v>100</v>
      </c>
      <c r="F9" s="1">
        <v>2</v>
      </c>
      <c r="G9" s="1">
        <v>265.94</v>
      </c>
      <c r="H9" s="4">
        <v>55</v>
      </c>
      <c r="I9" s="10">
        <f t="shared" si="0"/>
        <v>200</v>
      </c>
      <c r="J9" s="15">
        <f t="shared" si="1"/>
        <v>119.673</v>
      </c>
      <c r="K9" s="11">
        <f t="shared" si="2"/>
        <v>23934.6</v>
      </c>
    </row>
    <row r="10" spans="2:11" ht="28.8" x14ac:dyDescent="0.3">
      <c r="B10" s="1">
        <v>7</v>
      </c>
      <c r="C10" s="7" t="s">
        <v>18</v>
      </c>
      <c r="D10" s="1" t="s">
        <v>7</v>
      </c>
      <c r="E10" s="1">
        <v>100</v>
      </c>
      <c r="F10" s="1">
        <v>4</v>
      </c>
      <c r="G10" s="1">
        <v>378</v>
      </c>
      <c r="H10" s="4">
        <v>55</v>
      </c>
      <c r="I10" s="10">
        <f t="shared" si="0"/>
        <v>400</v>
      </c>
      <c r="J10" s="15">
        <f t="shared" si="1"/>
        <v>170.1</v>
      </c>
      <c r="K10" s="11">
        <f t="shared" si="2"/>
        <v>68040</v>
      </c>
    </row>
    <row r="11" spans="2:11" x14ac:dyDescent="0.3">
      <c r="B11" s="1">
        <v>8</v>
      </c>
      <c r="C11" s="7" t="s">
        <v>16</v>
      </c>
      <c r="D11" s="1" t="s">
        <v>7</v>
      </c>
      <c r="E11" s="1">
        <v>305</v>
      </c>
      <c r="F11" s="1">
        <v>4</v>
      </c>
      <c r="G11" s="1">
        <v>47.7</v>
      </c>
      <c r="H11" s="1">
        <v>40</v>
      </c>
      <c r="I11" s="10">
        <f t="shared" si="0"/>
        <v>1220</v>
      </c>
      <c r="J11" s="15">
        <f t="shared" si="1"/>
        <v>28.620000000000005</v>
      </c>
      <c r="K11" s="11">
        <f t="shared" si="2"/>
        <v>34916.400000000009</v>
      </c>
    </row>
    <row r="12" spans="2:11" ht="28.8" x14ac:dyDescent="0.3">
      <c r="B12" s="1">
        <v>9</v>
      </c>
      <c r="C12" s="7" t="s">
        <v>13</v>
      </c>
      <c r="D12" s="1" t="s">
        <v>7</v>
      </c>
      <c r="E12" s="1">
        <v>305</v>
      </c>
      <c r="F12" s="1">
        <v>4</v>
      </c>
      <c r="G12" s="1">
        <v>23.08</v>
      </c>
      <c r="H12" s="1">
        <v>40</v>
      </c>
      <c r="I12" s="10">
        <f t="shared" si="0"/>
        <v>1220</v>
      </c>
      <c r="J12" s="15">
        <f t="shared" si="1"/>
        <v>13.847999999999999</v>
      </c>
      <c r="K12" s="11">
        <f t="shared" si="2"/>
        <v>16894.559999999998</v>
      </c>
    </row>
    <row r="13" spans="2:11" x14ac:dyDescent="0.3">
      <c r="B13" s="1"/>
      <c r="C13" s="7" t="s">
        <v>6</v>
      </c>
      <c r="D13" s="10"/>
      <c r="E13" s="10"/>
      <c r="F13" s="10"/>
      <c r="G13" s="10"/>
      <c r="H13" s="10"/>
      <c r="I13" s="10"/>
      <c r="J13" s="3"/>
      <c r="K13" s="14">
        <f>SUM(K3:K12)</f>
        <v>1174896.32</v>
      </c>
    </row>
    <row r="14" spans="2:11" x14ac:dyDescent="0.3">
      <c r="B14" s="3"/>
      <c r="C14" s="6" t="s">
        <v>3</v>
      </c>
      <c r="D14" s="1"/>
      <c r="E14" s="1"/>
      <c r="F14" s="1"/>
      <c r="G14" s="1"/>
      <c r="H14" s="1"/>
      <c r="I14" s="1"/>
      <c r="J14" s="3"/>
      <c r="K14" s="12">
        <f>K13*18/100</f>
        <v>211481.33760000003</v>
      </c>
    </row>
    <row r="15" spans="2:11" x14ac:dyDescent="0.3">
      <c r="B15" s="3"/>
      <c r="C15" s="9"/>
      <c r="D15" s="3"/>
      <c r="E15" s="3"/>
      <c r="F15" s="3"/>
      <c r="G15" s="3"/>
      <c r="H15" s="3"/>
      <c r="I15" s="3"/>
      <c r="J15" s="3"/>
      <c r="K15" s="16">
        <f>SUM(K13:K14)</f>
        <v>1386377.6576</v>
      </c>
    </row>
    <row r="16" spans="2:11" x14ac:dyDescent="0.3">
      <c r="B16" s="3"/>
      <c r="C16" s="9"/>
      <c r="D16" s="3"/>
      <c r="E16" s="3"/>
      <c r="F16" s="3"/>
      <c r="G16" s="3"/>
      <c r="H16" s="3"/>
      <c r="I16" s="3"/>
      <c r="J16" s="3"/>
      <c r="K16" s="16"/>
    </row>
  </sheetData>
  <autoFilter ref="B2:K15" xr:uid="{1E8C55AE-9329-4ADB-AD22-4EA1FF113812}"/>
  <pageMargins left="0.70866141732283472" right="0.70866141732283472" top="0.74803149606299213" bottom="0.74803149606299213" header="0.31496062992125984" footer="0.31496062992125984"/>
  <pageSetup paperSize="9" scale="92" orientation="landscape" horizontalDpi="0" verticalDpi="0" r:id="rId1"/>
  <headerFooter>
    <oddHeader xml:space="preserve">&amp;C&amp;36RR FR 200 METER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BDCC-8741-4B96-9E1F-DA45BF16A746}">
  <sheetPr>
    <pageSetUpPr fitToPage="1"/>
  </sheetPr>
  <dimension ref="B2:K16"/>
  <sheetViews>
    <sheetView view="pageLayout" zoomScaleNormal="100" workbookViewId="0">
      <selection activeCell="A9" sqref="A9:XFD9"/>
    </sheetView>
  </sheetViews>
  <sheetFormatPr defaultColWidth="9.109375" defaultRowHeight="14.4" x14ac:dyDescent="0.3"/>
  <cols>
    <col min="1" max="1" width="9.109375" style="2"/>
    <col min="2" max="2" width="6" style="5" customWidth="1"/>
    <col min="3" max="3" width="35.6640625" style="8" customWidth="1"/>
    <col min="4" max="4" width="6.6640625" style="5" customWidth="1"/>
    <col min="5" max="5" width="24.5546875" style="5" customWidth="1"/>
    <col min="6" max="6" width="8.109375" style="5" customWidth="1"/>
    <col min="7" max="7" width="7.88671875" style="5" customWidth="1"/>
    <col min="8" max="8" width="9.88671875" style="5" customWidth="1"/>
    <col min="9" max="9" width="13.5546875" style="5" customWidth="1"/>
    <col min="10" max="10" width="8.88671875" style="5" customWidth="1"/>
    <col min="11" max="11" width="11.5546875" style="13" customWidth="1"/>
    <col min="12" max="16" width="9.109375" style="2"/>
    <col min="17" max="17" width="8.5546875" style="2" customWidth="1"/>
    <col min="18" max="16384" width="9.109375" style="2"/>
  </cols>
  <sheetData>
    <row r="2" spans="2:11" s="17" customFormat="1" ht="32.25" customHeight="1" x14ac:dyDescent="0.3">
      <c r="B2" s="1" t="s">
        <v>0</v>
      </c>
      <c r="C2" s="6" t="s">
        <v>1</v>
      </c>
      <c r="D2" s="1" t="s">
        <v>4</v>
      </c>
      <c r="E2" s="1" t="s">
        <v>35</v>
      </c>
      <c r="F2" s="10" t="s">
        <v>11</v>
      </c>
      <c r="G2" s="1" t="s">
        <v>8</v>
      </c>
      <c r="H2" s="1" t="s">
        <v>9</v>
      </c>
      <c r="I2" s="10" t="s">
        <v>12</v>
      </c>
      <c r="J2" s="10" t="s">
        <v>2</v>
      </c>
      <c r="K2" s="11" t="s">
        <v>5</v>
      </c>
    </row>
    <row r="3" spans="2:11" ht="32.25" customHeight="1" x14ac:dyDescent="0.3">
      <c r="B3" s="1"/>
      <c r="C3" s="7" t="s">
        <v>25</v>
      </c>
      <c r="D3" s="1" t="s">
        <v>7</v>
      </c>
      <c r="E3" s="1">
        <v>180</v>
      </c>
      <c r="F3" s="10">
        <v>23</v>
      </c>
      <c r="G3" s="1">
        <v>22.1</v>
      </c>
      <c r="H3" s="1">
        <v>57</v>
      </c>
      <c r="I3" s="10">
        <f t="shared" ref="I3:I12" si="0">F3*E3</f>
        <v>4140</v>
      </c>
      <c r="J3" s="15">
        <f>G3-(G3*H3/100)</f>
        <v>9.5030000000000001</v>
      </c>
      <c r="K3" s="11">
        <f>J3*I3</f>
        <v>39342.42</v>
      </c>
    </row>
    <row r="4" spans="2:11" ht="28.8" x14ac:dyDescent="0.3">
      <c r="B4" s="1">
        <v>1</v>
      </c>
      <c r="C4" s="7" t="s">
        <v>26</v>
      </c>
      <c r="D4" s="1" t="s">
        <v>7</v>
      </c>
      <c r="E4" s="1">
        <v>180</v>
      </c>
      <c r="F4" s="1">
        <v>50</v>
      </c>
      <c r="G4" s="1">
        <v>28.93</v>
      </c>
      <c r="H4" s="1">
        <v>57</v>
      </c>
      <c r="I4" s="10">
        <f t="shared" si="0"/>
        <v>9000</v>
      </c>
      <c r="J4" s="15">
        <f t="shared" ref="J4:J12" si="1">G4-(G4*H4/100)</f>
        <v>12.439900000000002</v>
      </c>
      <c r="K4" s="11">
        <f t="shared" ref="K4:K12" si="2">J4*I4</f>
        <v>111959.10000000002</v>
      </c>
    </row>
    <row r="5" spans="2:11" ht="28.8" x14ac:dyDescent="0.3">
      <c r="B5" s="1">
        <v>2</v>
      </c>
      <c r="C5" s="7" t="s">
        <v>27</v>
      </c>
      <c r="D5" s="1" t="s">
        <v>7</v>
      </c>
      <c r="E5" s="1">
        <v>180</v>
      </c>
      <c r="F5" s="1">
        <v>37</v>
      </c>
      <c r="G5" s="1">
        <v>40.909999999999997</v>
      </c>
      <c r="H5" s="1">
        <v>57</v>
      </c>
      <c r="I5" s="10">
        <f t="shared" si="0"/>
        <v>6660</v>
      </c>
      <c r="J5" s="15">
        <f t="shared" si="1"/>
        <v>17.591299999999997</v>
      </c>
      <c r="K5" s="11">
        <f t="shared" si="2"/>
        <v>117158.05799999998</v>
      </c>
    </row>
    <row r="6" spans="2:11" ht="28.8" x14ac:dyDescent="0.3">
      <c r="B6" s="1">
        <v>3</v>
      </c>
      <c r="C6" s="7" t="s">
        <v>28</v>
      </c>
      <c r="D6" s="1" t="s">
        <v>7</v>
      </c>
      <c r="E6" s="1">
        <v>180</v>
      </c>
      <c r="F6" s="1">
        <v>23</v>
      </c>
      <c r="G6" s="1">
        <v>67.069999999999993</v>
      </c>
      <c r="H6" s="1">
        <v>57</v>
      </c>
      <c r="I6" s="10">
        <f t="shared" si="0"/>
        <v>4140</v>
      </c>
      <c r="J6" s="15">
        <f t="shared" si="1"/>
        <v>28.840099999999993</v>
      </c>
      <c r="K6" s="11">
        <f t="shared" si="2"/>
        <v>119398.01399999997</v>
      </c>
    </row>
    <row r="7" spans="2:11" ht="28.8" x14ac:dyDescent="0.3">
      <c r="B7" s="1">
        <v>4</v>
      </c>
      <c r="C7" s="7" t="s">
        <v>29</v>
      </c>
      <c r="D7" s="1" t="s">
        <v>7</v>
      </c>
      <c r="E7" s="1">
        <v>180</v>
      </c>
      <c r="F7" s="1">
        <v>43</v>
      </c>
      <c r="G7" s="1">
        <v>105.17</v>
      </c>
      <c r="H7" s="1">
        <v>57</v>
      </c>
      <c r="I7" s="10">
        <f t="shared" si="0"/>
        <v>7740</v>
      </c>
      <c r="J7" s="15">
        <f t="shared" si="1"/>
        <v>45.223099999999995</v>
      </c>
      <c r="K7" s="11">
        <f t="shared" si="2"/>
        <v>350026.79399999994</v>
      </c>
    </row>
    <row r="8" spans="2:11" ht="28.8" x14ac:dyDescent="0.3">
      <c r="B8" s="1">
        <v>5</v>
      </c>
      <c r="C8" s="7" t="s">
        <v>30</v>
      </c>
      <c r="D8" s="1" t="s">
        <v>7</v>
      </c>
      <c r="E8" s="1">
        <v>180</v>
      </c>
      <c r="F8" s="1">
        <v>19</v>
      </c>
      <c r="G8" s="1">
        <v>156.03</v>
      </c>
      <c r="H8" s="1">
        <v>57</v>
      </c>
      <c r="I8" s="10">
        <f t="shared" si="0"/>
        <v>3420</v>
      </c>
      <c r="J8" s="15">
        <f t="shared" si="1"/>
        <v>67.092899999999986</v>
      </c>
      <c r="K8" s="11">
        <f t="shared" si="2"/>
        <v>229457.71799999996</v>
      </c>
    </row>
    <row r="9" spans="2:11" ht="28.8" x14ac:dyDescent="0.3">
      <c r="B9" s="1">
        <v>6</v>
      </c>
      <c r="C9" s="7" t="s">
        <v>31</v>
      </c>
      <c r="D9" s="1" t="s">
        <v>7</v>
      </c>
      <c r="E9" s="1">
        <v>100</v>
      </c>
      <c r="F9" s="1">
        <v>2</v>
      </c>
      <c r="G9" s="1">
        <v>265.94</v>
      </c>
      <c r="H9" s="4">
        <v>55</v>
      </c>
      <c r="I9" s="10">
        <f t="shared" si="0"/>
        <v>200</v>
      </c>
      <c r="J9" s="15">
        <f t="shared" si="1"/>
        <v>119.673</v>
      </c>
      <c r="K9" s="11">
        <f t="shared" si="2"/>
        <v>23934.6</v>
      </c>
    </row>
    <row r="10" spans="2:11" ht="28.8" x14ac:dyDescent="0.3">
      <c r="B10" s="1">
        <v>7</v>
      </c>
      <c r="C10" s="7" t="s">
        <v>32</v>
      </c>
      <c r="D10" s="1" t="s">
        <v>7</v>
      </c>
      <c r="E10" s="1">
        <v>100</v>
      </c>
      <c r="F10" s="1">
        <v>4</v>
      </c>
      <c r="G10" s="1">
        <v>378</v>
      </c>
      <c r="H10" s="4">
        <v>55</v>
      </c>
      <c r="I10" s="10">
        <f t="shared" si="0"/>
        <v>400</v>
      </c>
      <c r="J10" s="15">
        <f t="shared" si="1"/>
        <v>170.1</v>
      </c>
      <c r="K10" s="11">
        <f t="shared" si="2"/>
        <v>68040</v>
      </c>
    </row>
    <row r="11" spans="2:11" x14ac:dyDescent="0.3">
      <c r="B11" s="1">
        <v>8</v>
      </c>
      <c r="C11" s="7" t="s">
        <v>33</v>
      </c>
      <c r="D11" s="1" t="s">
        <v>7</v>
      </c>
      <c r="E11" s="1">
        <v>305</v>
      </c>
      <c r="F11" s="1">
        <v>4</v>
      </c>
      <c r="G11" s="1">
        <v>47.7</v>
      </c>
      <c r="H11" s="1">
        <v>40</v>
      </c>
      <c r="I11" s="10">
        <f t="shared" si="0"/>
        <v>1220</v>
      </c>
      <c r="J11" s="15">
        <f t="shared" si="1"/>
        <v>28.620000000000005</v>
      </c>
      <c r="K11" s="11">
        <f t="shared" si="2"/>
        <v>34916.400000000009</v>
      </c>
    </row>
    <row r="12" spans="2:11" ht="28.8" x14ac:dyDescent="0.3">
      <c r="B12" s="1">
        <v>9</v>
      </c>
      <c r="C12" s="7" t="s">
        <v>34</v>
      </c>
      <c r="D12" s="1" t="s">
        <v>7</v>
      </c>
      <c r="E12" s="1">
        <v>305</v>
      </c>
      <c r="F12" s="1">
        <v>4</v>
      </c>
      <c r="G12" s="1">
        <v>23.08</v>
      </c>
      <c r="H12" s="1">
        <v>40</v>
      </c>
      <c r="I12" s="10">
        <f t="shared" si="0"/>
        <v>1220</v>
      </c>
      <c r="J12" s="15">
        <f t="shared" si="1"/>
        <v>13.847999999999999</v>
      </c>
      <c r="K12" s="11">
        <f t="shared" si="2"/>
        <v>16894.559999999998</v>
      </c>
    </row>
    <row r="13" spans="2:11" x14ac:dyDescent="0.3">
      <c r="B13" s="1"/>
      <c r="C13" s="7" t="s">
        <v>6</v>
      </c>
      <c r="D13" s="10"/>
      <c r="E13" s="10"/>
      <c r="F13" s="10"/>
      <c r="G13" s="10"/>
      <c r="H13" s="10"/>
      <c r="I13" s="10"/>
      <c r="J13" s="3"/>
      <c r="K13" s="14">
        <f>SUM(K3:K12)</f>
        <v>1111127.6639999999</v>
      </c>
    </row>
    <row r="14" spans="2:11" x14ac:dyDescent="0.3">
      <c r="B14" s="3"/>
      <c r="C14" s="6" t="s">
        <v>3</v>
      </c>
      <c r="D14" s="1"/>
      <c r="E14" s="1"/>
      <c r="F14" s="1"/>
      <c r="G14" s="1"/>
      <c r="H14" s="1"/>
      <c r="I14" s="1"/>
      <c r="J14" s="3"/>
      <c r="K14" s="12">
        <f>K13*18/100</f>
        <v>200002.97951999999</v>
      </c>
    </row>
    <row r="15" spans="2:11" x14ac:dyDescent="0.3">
      <c r="B15" s="3"/>
      <c r="C15" s="9"/>
      <c r="D15" s="3"/>
      <c r="E15" s="3"/>
      <c r="F15" s="3"/>
      <c r="G15" s="3"/>
      <c r="H15" s="3"/>
      <c r="I15" s="3"/>
      <c r="J15" s="3"/>
      <c r="K15" s="16">
        <f>SUM(K13:K14)</f>
        <v>1311130.6435199999</v>
      </c>
    </row>
    <row r="16" spans="2:11" x14ac:dyDescent="0.3">
      <c r="B16" s="3"/>
      <c r="C16" s="9"/>
      <c r="D16" s="3"/>
      <c r="E16" s="3"/>
      <c r="F16" s="3"/>
      <c r="G16" s="3"/>
      <c r="H16" s="3"/>
      <c r="I16" s="3"/>
      <c r="J16" s="3"/>
      <c r="K16" s="16"/>
    </row>
  </sheetData>
  <pageMargins left="0.70866141732283472" right="0.70866141732283472" top="0.74803149606299213" bottom="0.74803149606299213" header="0.31496062992125984" footer="0.31496062992125984"/>
  <pageSetup paperSize="9" scale="92" orientation="landscape" horizontalDpi="0" verticalDpi="0" r:id="rId1"/>
  <headerFooter>
    <oddHeader>&amp;C&amp;"-,Bold"&amp;28LAPP FRLSH 180 METER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HT CABLES</vt:lpstr>
      <vt:lpstr>COPPER ARMOD</vt:lpstr>
      <vt:lpstr>ALLUMINIUM ARMOD</vt:lpstr>
      <vt:lpstr>HMI GLAND</vt:lpstr>
      <vt:lpstr>COSMOS CABLE GLANDS</vt:lpstr>
      <vt:lpstr>RR Q1 90</vt:lpstr>
      <vt:lpstr>RR FRLSH 200</vt:lpstr>
      <vt:lpstr>RR FR 200</vt:lpstr>
      <vt:lpstr>LAPP 180 FRLSH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2025-12-15T12:58:35Z</dcterms:modified>
</cp:coreProperties>
</file>